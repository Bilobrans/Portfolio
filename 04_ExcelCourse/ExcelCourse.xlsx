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Área de Trabalho\Portfólio\Solucapacita Excel\"/>
    </mc:Choice>
  </mc:AlternateContent>
  <xr:revisionPtr revIDLastSave="0" documentId="13_ncr:1_{56754418-E906-47FB-8770-7F23E6424FC6}" xr6:coauthVersionLast="47" xr6:coauthVersionMax="47" xr10:uidLastSave="{00000000-0000-0000-0000-000000000000}"/>
  <bookViews>
    <workbookView xWindow="-108" yWindow="-108" windowWidth="23256" windowHeight="12456" activeTab="6" xr2:uid="{B0B0478F-49F4-47A4-AE98-23F77733742C}"/>
  </bookViews>
  <sheets>
    <sheet name="HUB" sheetId="3" r:id="rId1"/>
    <sheet name="Interface" sheetId="8" r:id="rId2"/>
    <sheet name="Formatação" sheetId="13" r:id="rId3"/>
    <sheet name="Fórmulas" sheetId="11" r:id="rId4"/>
    <sheet name="Filtros" sheetId="10" r:id="rId5"/>
    <sheet name="Gráficos básicos" sheetId="12" r:id="rId6"/>
    <sheet name="Exemplo formatação cond" sheetId="15" r:id="rId7"/>
  </sheets>
  <definedNames>
    <definedName name="_xlnm._FilterDatabase" localSheetId="4" hidden="1">Filtros!$H$8:$P$8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1" l="1"/>
  <c r="P16" i="11"/>
  <c r="P17" i="11"/>
  <c r="P15" i="11"/>
  <c r="L14" i="11"/>
  <c r="L15" i="11"/>
  <c r="L17" i="11"/>
  <c r="P12" i="11"/>
  <c r="K9" i="11"/>
  <c r="M9" i="11" s="1"/>
  <c r="K10" i="11"/>
  <c r="M10" i="11" s="1"/>
  <c r="K11" i="11"/>
  <c r="L11" i="11" s="1"/>
  <c r="K12" i="11"/>
  <c r="L12" i="11" s="1"/>
  <c r="K13" i="11"/>
  <c r="L13" i="11" s="1"/>
  <c r="K14" i="11"/>
  <c r="M14" i="11" s="1"/>
  <c r="K15" i="11"/>
  <c r="M15" i="11" s="1"/>
  <c r="K16" i="11"/>
  <c r="M16" i="11" s="1"/>
  <c r="K17" i="11"/>
  <c r="M17" i="11" s="1"/>
  <c r="K8" i="11"/>
  <c r="G9" i="15"/>
  <c r="G4" i="15"/>
  <c r="G5" i="15"/>
  <c r="G6" i="15"/>
  <c r="G7" i="15"/>
  <c r="G8" i="15"/>
  <c r="H9" i="15"/>
  <c r="G10" i="15"/>
  <c r="H10" i="15" s="1"/>
  <c r="G11" i="15"/>
  <c r="H11" i="15" s="1"/>
  <c r="G12" i="15"/>
  <c r="H12" i="15" s="1"/>
  <c r="G3" i="15"/>
  <c r="H3" i="15" s="1"/>
  <c r="H4" i="15"/>
  <c r="H5" i="15"/>
  <c r="H6" i="15"/>
  <c r="H7" i="15"/>
  <c r="H8" i="15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28" i="10"/>
  <c r="L16" i="11" l="1"/>
  <c r="M12" i="11"/>
  <c r="M13" i="11"/>
  <c r="M11" i="11"/>
  <c r="Q15" i="11"/>
  <c r="Q17" i="11"/>
  <c r="Q16" i="11"/>
  <c r="L8" i="11"/>
  <c r="L10" i="11"/>
  <c r="L9" i="11"/>
  <c r="P10" i="11"/>
  <c r="P11" i="11"/>
  <c r="P8" i="11"/>
  <c r="P9" i="11"/>
</calcChain>
</file>

<file path=xl/sharedStrings.xml><?xml version="1.0" encoding="utf-8"?>
<sst xmlns="http://schemas.openxmlformats.org/spreadsheetml/2006/main" count="235" uniqueCount="132">
  <si>
    <t>Nome</t>
  </si>
  <si>
    <t>Nota 1</t>
  </si>
  <si>
    <t>Nota 2</t>
  </si>
  <si>
    <t>Média</t>
  </si>
  <si>
    <t>Status</t>
  </si>
  <si>
    <t>João</t>
  </si>
  <si>
    <t>Maria</t>
  </si>
  <si>
    <t>Pedro</t>
  </si>
  <si>
    <t>Ana</t>
  </si>
  <si>
    <t>Lucas</t>
  </si>
  <si>
    <t>Laura</t>
  </si>
  <si>
    <t>Carla</t>
  </si>
  <si>
    <t>Diego</t>
  </si>
  <si>
    <t>Sofia</t>
  </si>
  <si>
    <t>Bruno</t>
  </si>
  <si>
    <t>Produto</t>
  </si>
  <si>
    <t>Categoria</t>
  </si>
  <si>
    <t>Quantidade</t>
  </si>
  <si>
    <t>Preço Unitário</t>
  </si>
  <si>
    <t>Total Venda</t>
  </si>
  <si>
    <t>Produto A</t>
  </si>
  <si>
    <t>Eletrônicos</t>
  </si>
  <si>
    <t>Produto B</t>
  </si>
  <si>
    <t>Eletrodomésticos</t>
  </si>
  <si>
    <t>Produto C</t>
  </si>
  <si>
    <t>Produto D</t>
  </si>
  <si>
    <t>Produto E</t>
  </si>
  <si>
    <t>Móveis</t>
  </si>
  <si>
    <t>Produto F</t>
  </si>
  <si>
    <t>Produto G</t>
  </si>
  <si>
    <t>Produto H</t>
  </si>
  <si>
    <t>Produto I</t>
  </si>
  <si>
    <t>Produto J</t>
  </si>
  <si>
    <t>Valor total das vendas</t>
  </si>
  <si>
    <t>Maior venda</t>
  </si>
  <si>
    <t>Menor venda</t>
  </si>
  <si>
    <t>Média das vendas</t>
  </si>
  <si>
    <t>Classificação</t>
  </si>
  <si>
    <t>Quantidade de produtos</t>
  </si>
  <si>
    <t>Valor total de vendas</t>
  </si>
  <si>
    <t>Quantidade de  produtos</t>
  </si>
  <si>
    <t>Valor de desconto</t>
  </si>
  <si>
    <t>Relação de vendas</t>
  </si>
  <si>
    <t>Pedido ID</t>
  </si>
  <si>
    <t>Cliente</t>
  </si>
  <si>
    <t>Data do Pedido</t>
  </si>
  <si>
    <t>Total Pedido</t>
  </si>
  <si>
    <t>TV 40"</t>
  </si>
  <si>
    <t>Concluído</t>
  </si>
  <si>
    <t>Geladeira</t>
  </si>
  <si>
    <t>Pendente</t>
  </si>
  <si>
    <t>Armário</t>
  </si>
  <si>
    <t>Micro-ondas</t>
  </si>
  <si>
    <t>Cancelado</t>
  </si>
  <si>
    <t>Notebook</t>
  </si>
  <si>
    <t>Mesa</t>
  </si>
  <si>
    <t>Lava-louças</t>
  </si>
  <si>
    <t>Cadeira</t>
  </si>
  <si>
    <t>Smartphone</t>
  </si>
  <si>
    <t>Fogão</t>
  </si>
  <si>
    <t>Estante</t>
  </si>
  <si>
    <t>Máquina de Lavar</t>
  </si>
  <si>
    <t>Monitor</t>
  </si>
  <si>
    <t>Sofá</t>
  </si>
  <si>
    <t>Aspirador</t>
  </si>
  <si>
    <t>TV 55"</t>
  </si>
  <si>
    <t>Mesa de Centro</t>
  </si>
  <si>
    <t>Relatório de vendas</t>
  </si>
  <si>
    <t>Mês</t>
  </si>
  <si>
    <t>Vendas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</si>
  <si>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</si>
  <si>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</si>
  <si>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</si>
  <si>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</si>
  <si>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</si>
  <si>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</si>
  <si>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</si>
  <si>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</si>
  <si>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</si>
  <si>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</si>
  <si>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</si>
  <si>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</si>
  <si>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Trimestre</t>
  </si>
  <si>
    <t>2023 (R$)</t>
  </si>
  <si>
    <t>2024 (R$)</t>
  </si>
  <si>
    <t>Q1</t>
  </si>
  <si>
    <t>Q2</t>
  </si>
  <si>
    <t>Q3</t>
  </si>
  <si>
    <t>Q4</t>
  </si>
  <si>
    <t>Pizza</t>
  </si>
  <si>
    <t>Linhas</t>
  </si>
  <si>
    <t>Colunas</t>
  </si>
  <si>
    <t>Investimento em Marketing (R$)</t>
  </si>
  <si>
    <t>Dispersão</t>
  </si>
  <si>
    <t>Valor com Desconto</t>
  </si>
  <si>
    <t>Nota 3</t>
  </si>
  <si>
    <t>Nota 4</t>
  </si>
  <si>
    <t>9.3</t>
  </si>
  <si>
    <t>Peso</t>
  </si>
  <si>
    <t>Altura</t>
  </si>
  <si>
    <t>Eduardo</t>
  </si>
  <si>
    <t>62 kg</t>
  </si>
  <si>
    <t>1,70 m</t>
  </si>
  <si>
    <t>Idade</t>
  </si>
  <si>
    <t>21 anos</t>
  </si>
  <si>
    <t>80 kg</t>
  </si>
  <si>
    <t>1,8 m</t>
  </si>
  <si>
    <t>País</t>
  </si>
  <si>
    <t>Brasil</t>
  </si>
  <si>
    <t>Beatriz</t>
  </si>
  <si>
    <t>19 anos</t>
  </si>
  <si>
    <t>55 kg</t>
  </si>
  <si>
    <t>1,60 m</t>
  </si>
  <si>
    <t>Valor gasto</t>
  </si>
  <si>
    <t>Comentário</t>
  </si>
  <si>
    <t>Atendimento</t>
  </si>
  <si>
    <t>Comida</t>
  </si>
  <si>
    <t>Ambiente</t>
  </si>
  <si>
    <t>Comida muito boa</t>
  </si>
  <si>
    <t>Demora no atendimento</t>
  </si>
  <si>
    <t>Gostei muito do atendimento, a comida estava bem temperada e o ambiente é muito confortável</t>
  </si>
  <si>
    <t>Pesquisa de satisfação de clientes</t>
  </si>
  <si>
    <t>Eduarda</t>
  </si>
  <si>
    <t>Renata</t>
  </si>
  <si>
    <t>Marcelo</t>
  </si>
  <si>
    <t>Camila</t>
  </si>
  <si>
    <t>Daniela</t>
  </si>
  <si>
    <t>Rafael</t>
  </si>
  <si>
    <t>Amanda</t>
  </si>
  <si>
    <t>Gabriel</t>
  </si>
  <si>
    <t>Juliana</t>
  </si>
  <si>
    <t>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</si>
</sst>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&quot;R$&quot;\ #,##0"/>
    <numFmt numFmtId="166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B32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37AE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2" borderId="20" xfId="0" applyFont="1" applyFill="1" applyBorder="1"/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65" fontId="0" fillId="0" borderId="22" xfId="0" applyNumberFormat="1" applyBorder="1" applyAlignment="1">
      <alignment vertical="center" wrapText="1"/>
    </xf>
    <xf numFmtId="165" fontId="0" fillId="0" borderId="24" xfId="0" applyNumberFormat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19" xfId="0" applyNumberFormat="1" applyBorder="1" applyAlignment="1">
      <alignment vertical="center" wrapText="1"/>
    </xf>
    <xf numFmtId="165" fontId="0" fillId="0" borderId="21" xfId="0" applyNumberFormat="1" applyBorder="1" applyAlignment="1">
      <alignment vertical="center" wrapText="1"/>
    </xf>
    <xf numFmtId="165" fontId="0" fillId="0" borderId="23" xfId="0" applyNumberFormat="1" applyBorder="1" applyAlignment="1">
      <alignment vertical="center" wrapText="1"/>
    </xf>
    <xf numFmtId="1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6" fontId="0" fillId="0" borderId="17" xfId="0" applyNumberFormat="1" applyBorder="1" applyAlignment="1">
      <alignment horizontal="center" vertical="center" wrapText="1"/>
    </xf>
    <xf numFmtId="166" fontId="0" fillId="0" borderId="32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4" fontId="0" fillId="0" borderId="0" xfId="0" applyNumberFormat="1"/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/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137AEB"/>
      <color rgb="FFFAB328"/>
      <color rgb="FF05203D"/>
      <color rgb="FF0D4E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básicos'!$K$8</c:f>
              <c:strCache>
                <c:ptCount val="1"/>
                <c:pt idx="0">
                  <c:v>Vendas 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'Gráficos básicos'!$J$9:$J$20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'Gráficos básicos'!$K$9:$K$20</c:f>
              <c:numCache>
                <c:formatCode>"R$"\ #,##0</c:formatCode>
                <c:ptCount val="12"/>
                <c:pt idx="0">
                  <c:v>10000</c:v>
                </c:pt>
                <c:pt idx="1">
                  <c:v>8500</c:v>
                </c:pt>
                <c:pt idx="2">
                  <c:v>12000</c:v>
                </c:pt>
                <c:pt idx="3">
                  <c:v>15000</c:v>
                </c:pt>
                <c:pt idx="4">
                  <c:v>14000</c:v>
                </c:pt>
                <c:pt idx="5">
                  <c:v>11500</c:v>
                </c:pt>
                <c:pt idx="6">
                  <c:v>13000</c:v>
                </c:pt>
                <c:pt idx="7">
                  <c:v>16000</c:v>
                </c:pt>
                <c:pt idx="8">
                  <c:v>14500</c:v>
                </c:pt>
                <c:pt idx="9">
                  <c:v>17000</c:v>
                </c:pt>
                <c:pt idx="10">
                  <c:v>18500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0-4970-8F4B-E65B70F29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7856351"/>
        <c:axId val="547857311"/>
      </c:barChart>
      <c:catAx>
        <c:axId val="5478563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857311"/>
        <c:crosses val="autoZero"/>
        <c:auto val="1"/>
        <c:lblAlgn val="ctr"/>
        <c:lblOffset val="100"/>
        <c:noMultiLvlLbl val="0"/>
      </c:catAx>
      <c:valAx>
        <c:axId val="5478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85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2023 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'Gráficos básicos'!$J$25</c:f>
              <c:strCache>
                <c:ptCount val="1"/>
                <c:pt idx="0">
                  <c:v>2023 (R$)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'Gráficos básicos'!$I$26:$I$29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'Gráficos básicos'!$J$26:$J$29</c:f>
              <c:numCache>
                <c:formatCode>"R$"\ #,##0</c:formatCode>
                <c:ptCount val="4"/>
                <c:pt idx="0">
                  <c:v>30000</c:v>
                </c:pt>
                <c:pt idx="1">
                  <c:v>45000</c:v>
                </c:pt>
                <c:pt idx="2">
                  <c:v>40000</c:v>
                </c:pt>
                <c:pt idx="3">
                  <c:v>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7-4F1B-A930-99B101CA9DF6}"/>
            </c:ext>
          </c:extLst>
        </c:ser>
        <c:ser>
          <c:idx val="1"/>
          <c:order val="1"/>
          <c:tx>
            <c:strRef>
              <c:f>'Gráficos básicos'!$K$25</c:f>
              <c:strCache>
                <c:ptCount val="1"/>
                <c:pt idx="0">
                  <c:v>2024 (R$)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'Gráficos básicos'!$I$26:$I$29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'Gráficos básicos'!$K$26:$K$29</c:f>
              <c:numCache>
                <c:formatCode>"R$"\ #,##0</c:formatCode>
                <c:ptCount val="4"/>
                <c:pt idx="0">
                  <c:v>35000</c:v>
                </c:pt>
                <c:pt idx="1">
                  <c:v>50000</c:v>
                </c:pt>
                <c:pt idx="2">
                  <c:v>48000</c:v>
                </c:pt>
                <c:pt idx="3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7-4F1B-A930-99B101CA9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387103"/>
        <c:axId val="1481386623"/>
      </c:lineChart>
      <c:catAx>
        <c:axId val="14813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386623"/>
        <c:crosses val="autoZero"/>
        <c:auto val="1"/>
        <c:lblAlgn val="ctr"/>
        <c:lblOffset val="100"/>
        <c:noMultiLvlLbl val="0"/>
      </c:catAx>
      <c:valAx>
        <c:axId val="14813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3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'Gráficos básicos'!$J$41</c:f>
              <c:strCache>
                <c:ptCount val="1"/>
                <c:pt idx="0">
                  <c:v>Vendas (R$)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55-4395-8C39-14CE152849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5-4395-8C39-14CE152849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55-4395-8C39-14CE152849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55-4395-8C39-14CE152849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55-4395-8C39-14CE152849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'Gráficos básicos'!$I$42:$I$46</c:f>
              <c:strCache>
                <c:ptCount val="5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  <c:pt idx="3">
                  <c:v>Produto D</c:v>
                </c:pt>
                <c:pt idx="4">
                  <c:v>Produto E</c:v>
                </c:pt>
              </c:strCache>
            </c:strRef>
          </c:cat>
          <c:val>
            <c:numRef>
              <c:f>'Gráficos básicos'!$J$42:$J$46</c:f>
              <c:numCache>
                <c:formatCode>"R$"\ #,##0</c:formatCode>
                <c:ptCount val="5"/>
                <c:pt idx="0">
                  <c:v>25000</c:v>
                </c:pt>
                <c:pt idx="1">
                  <c:v>15000</c:v>
                </c:pt>
                <c:pt idx="2">
                  <c:v>20000</c:v>
                </c:pt>
                <c:pt idx="3">
                  <c:v>30000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5-4CDC-82F7-92E80745C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'Gráficos básicos'!$H$55</c:f>
              <c:strCache>
                <c:ptCount val="1"/>
                <c:pt idx="0">
                  <c:v>Vendas (R$)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'Gráficos básicos'!$G$56:$G$63</c:f>
              <c:numCache>
                <c:formatCode>"R$"\ #,##0</c:formatCode>
                <c:ptCount val="8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</c:numCache>
            </c:numRef>
          </c:xVal>
          <c:yVal>
            <c:numRef>
              <c:f>'Gráficos básicos'!$H$56:$H$63</c:f>
              <c:numCache>
                <c:formatCode>"R$"\ #,##0</c:formatCode>
                <c:ptCount val="8"/>
                <c:pt idx="0">
                  <c:v>15000</c:v>
                </c:pt>
                <c:pt idx="1">
                  <c:v>25000</c:v>
                </c:pt>
                <c:pt idx="2">
                  <c:v>30000</c:v>
                </c:pt>
                <c:pt idx="3">
                  <c:v>35000</c:v>
                </c:pt>
                <c:pt idx="4">
                  <c:v>50000</c:v>
                </c:pt>
                <c:pt idx="5">
                  <c:v>60000</c:v>
                </c:pt>
                <c:pt idx="6">
                  <c:v>65000</c:v>
                </c:pt>
                <c:pt idx="7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E-4CEA-B0C0-A9085D2E0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543887"/>
        <c:axId val="618635103"/>
      </c:scatterChart>
      <c:valAx>
        <c:axId val="5795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635103"/>
        <c:crosses val="autoZero"/>
        <c:crossBetween val="midCat"/>
      </c:valAx>
      <c:valAx>
        <c:axId val="6186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95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HUB!A1"/><Relationship Id="rId7" Type="http://schemas.openxmlformats.org/officeDocument/2006/relationships/hyperlink" Target="#'Gr&#225;ficos b&#225;sicos'!A1"/><Relationship Id="rId2" Type="http://schemas.openxmlformats.org/officeDocument/2006/relationships/hyperlink" Target="#Formata&#231;&#227;o!A1"/><Relationship Id="rId1" Type="http://schemas.openxmlformats.org/officeDocument/2006/relationships/image" Target="../media/image1.png"/><Relationship Id="rId6" Type="http://schemas.openxmlformats.org/officeDocument/2006/relationships/hyperlink" Target="#Filtros!A1"/><Relationship Id="rId5" Type="http://schemas.openxmlformats.org/officeDocument/2006/relationships/hyperlink" Target="#F&#243;rmulas!A1"/><Relationship Id="rId4" Type="http://schemas.openxmlformats.org/officeDocument/2006/relationships/hyperlink" Target="#Interfa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terface!A1"/><Relationship Id="rId7" Type="http://schemas.openxmlformats.org/officeDocument/2006/relationships/hyperlink" Target="#'Gr&#225;ficos b&#225;sicos'!A1"/><Relationship Id="rId2" Type="http://schemas.openxmlformats.org/officeDocument/2006/relationships/hyperlink" Target="#HUB!A1"/><Relationship Id="rId1" Type="http://schemas.openxmlformats.org/officeDocument/2006/relationships/image" Target="../media/image1.png"/><Relationship Id="rId6" Type="http://schemas.openxmlformats.org/officeDocument/2006/relationships/hyperlink" Target="#Filtros!A1"/><Relationship Id="rId5" Type="http://schemas.openxmlformats.org/officeDocument/2006/relationships/hyperlink" Target="#F&#243;rmulas!A1"/><Relationship Id="rId4" Type="http://schemas.openxmlformats.org/officeDocument/2006/relationships/hyperlink" Target="#Formata&#231;&#227;o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terface!A1"/><Relationship Id="rId7" Type="http://schemas.openxmlformats.org/officeDocument/2006/relationships/hyperlink" Target="#'Gr&#225;ficos b&#225;sicos'!A1"/><Relationship Id="rId2" Type="http://schemas.openxmlformats.org/officeDocument/2006/relationships/hyperlink" Target="#HUB!A1"/><Relationship Id="rId1" Type="http://schemas.openxmlformats.org/officeDocument/2006/relationships/image" Target="../media/image1.png"/><Relationship Id="rId6" Type="http://schemas.openxmlformats.org/officeDocument/2006/relationships/hyperlink" Target="#Filtros!A1"/><Relationship Id="rId5" Type="http://schemas.openxmlformats.org/officeDocument/2006/relationships/hyperlink" Target="#F&#243;rmulas!A1"/><Relationship Id="rId4" Type="http://schemas.openxmlformats.org/officeDocument/2006/relationships/hyperlink" Target="#Formata&#231;&#227;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terface!A1"/><Relationship Id="rId7" Type="http://schemas.openxmlformats.org/officeDocument/2006/relationships/hyperlink" Target="#'Gr&#225;ficos b&#225;sicos'!A1"/><Relationship Id="rId2" Type="http://schemas.openxmlformats.org/officeDocument/2006/relationships/hyperlink" Target="#HUB!A1"/><Relationship Id="rId1" Type="http://schemas.openxmlformats.org/officeDocument/2006/relationships/image" Target="../media/image1.png"/><Relationship Id="rId6" Type="http://schemas.openxmlformats.org/officeDocument/2006/relationships/hyperlink" Target="#Filtros!A1"/><Relationship Id="rId5" Type="http://schemas.openxmlformats.org/officeDocument/2006/relationships/hyperlink" Target="#F&#243;rmulas!A1"/><Relationship Id="rId4" Type="http://schemas.openxmlformats.org/officeDocument/2006/relationships/hyperlink" Target="#Formata&#231;&#227;o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terface!A1"/><Relationship Id="rId7" Type="http://schemas.openxmlformats.org/officeDocument/2006/relationships/hyperlink" Target="#'Gr&#225;ficos b&#225;sicos'!A1"/><Relationship Id="rId2" Type="http://schemas.openxmlformats.org/officeDocument/2006/relationships/hyperlink" Target="#HUB!A1"/><Relationship Id="rId1" Type="http://schemas.openxmlformats.org/officeDocument/2006/relationships/image" Target="../media/image1.png"/><Relationship Id="rId6" Type="http://schemas.openxmlformats.org/officeDocument/2006/relationships/hyperlink" Target="#Filtros!A1"/><Relationship Id="rId5" Type="http://schemas.openxmlformats.org/officeDocument/2006/relationships/hyperlink" Target="#F&#243;rmulas!A1"/><Relationship Id="rId4" Type="http://schemas.openxmlformats.org/officeDocument/2006/relationships/hyperlink" Target="#Formata&#231;&#227;o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Interface!A1"/><Relationship Id="rId7" Type="http://schemas.openxmlformats.org/officeDocument/2006/relationships/hyperlink" Target="#'Gr&#225;ficos b&#225;sicos'!A1"/><Relationship Id="rId2" Type="http://schemas.openxmlformats.org/officeDocument/2006/relationships/hyperlink" Target="#HUB!A1"/><Relationship Id="rId1" Type="http://schemas.openxmlformats.org/officeDocument/2006/relationships/image" Target="../media/image1.png"/><Relationship Id="rId6" Type="http://schemas.openxmlformats.org/officeDocument/2006/relationships/hyperlink" Target="#Filtros!A1"/><Relationship Id="rId11" Type="http://schemas.openxmlformats.org/officeDocument/2006/relationships/chart" Target="../charts/chart4.xml"/><Relationship Id="rId5" Type="http://schemas.openxmlformats.org/officeDocument/2006/relationships/hyperlink" Target="#F&#243;rmulas!A1"/><Relationship Id="rId10" Type="http://schemas.openxmlformats.org/officeDocument/2006/relationships/chart" Target="../charts/chart3.xml"/><Relationship Id="rId4" Type="http://schemas.openxmlformats.org/officeDocument/2006/relationships/hyperlink" Target="#Formata&#231;&#227;o!A1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482600</xdr:colOff>
      <xdr:row>40</xdr:row>
      <xdr:rowOff>167640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9D85A28-7B67-BBE4-668A-A1884963309B}"/>
            </a:ext>
          </a:extLst>
        </xdr:cNvPr>
        <xdr:cNvSpPr/>
      </xdr:nvSpPr>
      <xdr:spPr>
        <a:xfrm>
          <a:off x="0" y="0"/>
          <a:ext cx="2921000" cy="7482840"/>
        </a:xfrm>
        <a:prstGeom prst="rect">
          <a:avLst/>
        </a:prstGeom>
        <a:solidFill>
          <a:srgbClr val="0D4E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140547</xdr:colOff>
      <xdr:row>0</xdr:row>
      <xdr:rowOff>127846</xdr:rowOff>
    </xdr:from>
    <xdr:to>
      <xdr:col>4</xdr:col>
      <xdr:colOff>330147</xdr:colOff>
      <xdr:row>6</xdr:row>
      <xdr:rowOff>18246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594055E9-E5E1-7039-5D7E-296B7ED328A0}"/>
            </a:ext>
          </a:extLst>
        </xdr:cNvPr>
        <xdr:cNvGrpSpPr/>
      </xdr:nvGrpSpPr>
      <xdr:grpSpPr>
        <a:xfrm>
          <a:off x="140547" y="127846"/>
          <a:ext cx="2628000" cy="987680"/>
          <a:chOff x="9616440" y="281940"/>
          <a:chExt cx="2491740" cy="929640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235F7155-4701-DADC-BA2E-3C1F4E060619}"/>
              </a:ext>
            </a:extLst>
          </xdr:cNvPr>
          <xdr:cNvSpPr/>
        </xdr:nvSpPr>
        <xdr:spPr>
          <a:xfrm>
            <a:off x="9616440" y="281940"/>
            <a:ext cx="2491740" cy="92964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5ABADCFF-4AC4-A5BA-8423-EA3266E37B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822180" y="441960"/>
            <a:ext cx="2124075" cy="60007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>
    <xdr:from>
      <xdr:col>0</xdr:col>
      <xdr:colOff>431800</xdr:colOff>
      <xdr:row>13</xdr:row>
      <xdr:rowOff>149013</xdr:rowOff>
    </xdr:from>
    <xdr:to>
      <xdr:col>4</xdr:col>
      <xdr:colOff>504798</xdr:colOff>
      <xdr:row>16</xdr:row>
      <xdr:rowOff>13546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34A8BE-031A-0162-1AA9-1DC1A1DD64FC}"/>
            </a:ext>
          </a:extLst>
        </xdr:cNvPr>
        <xdr:cNvSpPr/>
      </xdr:nvSpPr>
      <xdr:spPr>
        <a:xfrm>
          <a:off x="431800" y="2554756"/>
          <a:ext cx="2511398" cy="41970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115109</xdr:colOff>
      <xdr:row>13</xdr:row>
      <xdr:rowOff>140545</xdr:rowOff>
    </xdr:from>
    <xdr:to>
      <xdr:col>4</xdr:col>
      <xdr:colOff>578997</xdr:colOff>
      <xdr:row>15</xdr:row>
      <xdr:rowOff>174413</xdr:rowOff>
    </xdr:to>
    <xdr:sp macro="" textlink="">
      <xdr:nvSpPr>
        <xdr:cNvPr id="17" name="CaixaDeText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D9FDCC-909D-5912-8A1D-6A0A35EABE20}"/>
            </a:ext>
          </a:extLst>
        </xdr:cNvPr>
        <xdr:cNvSpPr txBox="1"/>
      </xdr:nvSpPr>
      <xdr:spPr>
        <a:xfrm>
          <a:off x="724709" y="2502745"/>
          <a:ext cx="2292688" cy="397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 kern="1200">
              <a:ln>
                <a:noFill/>
              </a:ln>
              <a:solidFill>
                <a:srgbClr val="FAB328"/>
              </a:solidFill>
              <a:effectLst/>
            </a:rPr>
            <a:t>Formatação</a:t>
          </a:r>
        </a:p>
      </xdr:txBody>
    </xdr:sp>
    <xdr:clientData/>
  </xdr:twoCellAnchor>
  <xdr:twoCellAnchor>
    <xdr:from>
      <xdr:col>0</xdr:col>
      <xdr:colOff>203200</xdr:colOff>
      <xdr:row>7</xdr:row>
      <xdr:rowOff>110066</xdr:rowOff>
    </xdr:from>
    <xdr:to>
      <xdr:col>4</xdr:col>
      <xdr:colOff>584200</xdr:colOff>
      <xdr:row>10</xdr:row>
      <xdr:rowOff>25399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35563372-DF28-11A9-BF0C-6BBC5B5BF367}"/>
            </a:ext>
          </a:extLst>
        </xdr:cNvPr>
        <xdr:cNvGrpSpPr/>
      </xdr:nvGrpSpPr>
      <xdr:grpSpPr>
        <a:xfrm>
          <a:off x="203200" y="1390226"/>
          <a:ext cx="2819400" cy="463973"/>
          <a:chOff x="203200" y="1390226"/>
          <a:chExt cx="2819400" cy="463973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5943095A-47B7-377E-3A9D-0F4767AFD968}"/>
              </a:ext>
            </a:extLst>
          </xdr:cNvPr>
          <xdr:cNvGrpSpPr/>
        </xdr:nvGrpSpPr>
        <xdr:grpSpPr>
          <a:xfrm>
            <a:off x="203200" y="1390226"/>
            <a:ext cx="2819400" cy="463973"/>
            <a:chOff x="203200" y="1413933"/>
            <a:chExt cx="2819400" cy="474133"/>
          </a:xfrm>
        </xdr:grpSpPr>
        <xdr:sp macro="" textlink="">
          <xdr:nvSpPr>
            <xdr:cNvPr id="3" name="Retângulo 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35FA4A42-2970-1B29-51FF-6B4FEC516020}"/>
                </a:ext>
              </a:extLst>
            </xdr:cNvPr>
            <xdr:cNvSpPr/>
          </xdr:nvSpPr>
          <xdr:spPr>
            <a:xfrm>
              <a:off x="203200" y="1464733"/>
              <a:ext cx="2819400" cy="423333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8" name="CaixaDeTexto 7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EB4AC5B5-7665-131F-1CB0-1253FB0920E7}"/>
                </a:ext>
              </a:extLst>
            </xdr:cNvPr>
            <xdr:cNvSpPr txBox="1"/>
          </xdr:nvSpPr>
          <xdr:spPr>
            <a:xfrm>
              <a:off x="440265" y="1413933"/>
              <a:ext cx="2188636" cy="4064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800" b="1" kern="120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EXCEL</a:t>
              </a:r>
              <a:r>
                <a:rPr lang="pt-BR" sz="2800" b="1" kern="1200" baseline="0">
                  <a:ln>
                    <a:solidFill>
                      <a:sysClr val="windowText" lastClr="000000"/>
                    </a:solidFill>
                  </a:ln>
                  <a:solidFill>
                    <a:srgbClr val="FAB328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rPr>
                <a:t> </a:t>
              </a:r>
              <a:r>
                <a:rPr lang="pt-BR" sz="2800" b="1" kern="1200" baseline="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básico</a:t>
              </a:r>
              <a:endParaRPr lang="pt-BR" sz="2800" b="1" kern="1200">
                <a:ln>
                  <a:solidFill>
                    <a:srgbClr val="FAB328"/>
                  </a:solidFill>
                </a:ln>
                <a:solidFill>
                  <a:srgbClr val="FAB328"/>
                </a:solidFill>
                <a:effectLst/>
              </a:endParaRPr>
            </a:p>
          </xdr:txBody>
        </xdr:sp>
      </xdr:grpSp>
      <xdr:sp macro="" textlink="">
        <xdr:nvSpPr>
          <xdr:cNvPr id="10" name="Seta: para a Direita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364D18A-1CC4-9BAD-395F-5D2F2AE51C00}"/>
              </a:ext>
            </a:extLst>
          </xdr:cNvPr>
          <xdr:cNvSpPr/>
        </xdr:nvSpPr>
        <xdr:spPr>
          <a:xfrm rot="5400000">
            <a:off x="311618" y="1568521"/>
            <a:ext cx="155921" cy="167325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0</xdr:col>
      <xdr:colOff>431800</xdr:colOff>
      <xdr:row>10</xdr:row>
      <xdr:rowOff>133771</xdr:rowOff>
    </xdr:from>
    <xdr:to>
      <xdr:col>4</xdr:col>
      <xdr:colOff>578997</xdr:colOff>
      <xdr:row>13</xdr:row>
      <xdr:rowOff>23706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46B0CF8E-587E-0AE0-7688-54DDA9C39642}"/>
            </a:ext>
          </a:extLst>
        </xdr:cNvPr>
        <xdr:cNvGrpSpPr/>
      </xdr:nvGrpSpPr>
      <xdr:grpSpPr>
        <a:xfrm>
          <a:off x="431800" y="1962571"/>
          <a:ext cx="2585597" cy="438575"/>
          <a:chOff x="431800" y="1967737"/>
          <a:chExt cx="2585597" cy="440125"/>
        </a:xfrm>
      </xdr:grpSpPr>
      <xdr:sp macro="" textlink="">
        <xdr:nvSpPr>
          <xdr:cNvPr id="13" name="Retângulo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A38E02F-61C1-B888-999E-5C61D7B113E3}"/>
              </a:ext>
            </a:extLst>
          </xdr:cNvPr>
          <xdr:cNvSpPr/>
        </xdr:nvSpPr>
        <xdr:spPr>
          <a:xfrm>
            <a:off x="431800" y="1993139"/>
            <a:ext cx="2511398" cy="41472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4" name="CaixaDeTexto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9C24FA5-F509-3EAF-E4BC-AF3F865FB66D}"/>
              </a:ext>
            </a:extLst>
          </xdr:cNvPr>
          <xdr:cNvSpPr txBox="1"/>
        </xdr:nvSpPr>
        <xdr:spPr>
          <a:xfrm>
            <a:off x="724709" y="1967737"/>
            <a:ext cx="2292688" cy="400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Interface</a:t>
            </a:r>
          </a:p>
        </xdr:txBody>
      </xdr:sp>
      <xdr:sp macro="" textlink="">
        <xdr:nvSpPr>
          <xdr:cNvPr id="12" name="Seta: para a Direita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0368362-A126-4532-86AD-7EF9CA69D537}"/>
              </a:ext>
            </a:extLst>
          </xdr:cNvPr>
          <xdr:cNvSpPr/>
        </xdr:nvSpPr>
        <xdr:spPr>
          <a:xfrm>
            <a:off x="613409" y="2152551"/>
            <a:ext cx="103337" cy="101548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1</xdr:col>
      <xdr:colOff>3809</xdr:colOff>
      <xdr:row>14</xdr:row>
      <xdr:rowOff>141379</xdr:rowOff>
    </xdr:from>
    <xdr:to>
      <xdr:col>1</xdr:col>
      <xdr:colOff>107146</xdr:colOff>
      <xdr:row>15</xdr:row>
      <xdr:rowOff>59531</xdr:rowOff>
    </xdr:to>
    <xdr:sp macro="" textlink="">
      <xdr:nvSpPr>
        <xdr:cNvPr id="15" name="Seta: para a Direita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5D5B1F-C8E8-4169-B646-63C6D6C600B6}"/>
            </a:ext>
          </a:extLst>
        </xdr:cNvPr>
        <xdr:cNvSpPr/>
      </xdr:nvSpPr>
      <xdr:spPr>
        <a:xfrm>
          <a:off x="613409" y="2701699"/>
          <a:ext cx="103337" cy="101032"/>
        </a:xfrm>
        <a:prstGeom prst="rightArrow">
          <a:avLst>
            <a:gd name="adj1" fmla="val 50000"/>
            <a:gd name="adj2" fmla="val 100000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431800</xdr:colOff>
      <xdr:row>16</xdr:row>
      <xdr:rowOff>130385</xdr:rowOff>
    </xdr:from>
    <xdr:to>
      <xdr:col>5</xdr:col>
      <xdr:colOff>45597</xdr:colOff>
      <xdr:row>19</xdr:row>
      <xdr:rowOff>20320</xdr:rowOff>
    </xdr:to>
    <xdr:grpSp>
      <xdr:nvGrpSpPr>
        <xdr:cNvPr id="34" name="Agrupar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9B6F31-69A4-58BE-CE8B-4B17535849C3}"/>
            </a:ext>
          </a:extLst>
        </xdr:cNvPr>
        <xdr:cNvGrpSpPr/>
      </xdr:nvGrpSpPr>
      <xdr:grpSpPr>
        <a:xfrm>
          <a:off x="431800" y="3056465"/>
          <a:ext cx="2661797" cy="438575"/>
          <a:chOff x="431800" y="3056465"/>
          <a:chExt cx="2661797" cy="438575"/>
        </a:xfrm>
      </xdr:grpSpPr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8F57CFCB-8394-79C9-349F-9A0D1D9F7D46}"/>
              </a:ext>
            </a:extLst>
          </xdr:cNvPr>
          <xdr:cNvSpPr/>
        </xdr:nvSpPr>
        <xdr:spPr>
          <a:xfrm>
            <a:off x="431800" y="3081778"/>
            <a:ext cx="2511398" cy="413262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CF6B2CFA-AEFB-1350-DB71-1601CDD3F529}"/>
              </a:ext>
            </a:extLst>
          </xdr:cNvPr>
          <xdr:cNvSpPr txBox="1"/>
        </xdr:nvSpPr>
        <xdr:spPr>
          <a:xfrm>
            <a:off x="724709" y="3056465"/>
            <a:ext cx="2368888" cy="39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Fórmulas </a:t>
            </a:r>
          </a:p>
        </xdr:txBody>
      </xdr:sp>
      <xdr:sp macro="" textlink="">
        <xdr:nvSpPr>
          <xdr:cNvPr id="18" name="Seta: para a Direita 17">
            <a:extLst>
              <a:ext uri="{FF2B5EF4-FFF2-40B4-BE49-F238E27FC236}">
                <a16:creationId xmlns:a16="http://schemas.microsoft.com/office/drawing/2014/main" id="{136FEBED-5F47-4FD7-890E-A1130B852CD0}"/>
              </a:ext>
            </a:extLst>
          </xdr:cNvPr>
          <xdr:cNvSpPr/>
        </xdr:nvSpPr>
        <xdr:spPr>
          <a:xfrm>
            <a:off x="613409" y="3256340"/>
            <a:ext cx="103337" cy="101191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0</xdr:col>
      <xdr:colOff>431800</xdr:colOff>
      <xdr:row>19</xdr:row>
      <xdr:rowOff>137159</xdr:rowOff>
    </xdr:from>
    <xdr:to>
      <xdr:col>5</xdr:col>
      <xdr:colOff>45597</xdr:colOff>
      <xdr:row>22</xdr:row>
      <xdr:rowOff>27094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ACCBF027-D7FD-AAE3-9822-09617C517172}"/>
            </a:ext>
          </a:extLst>
        </xdr:cNvPr>
        <xdr:cNvGrpSpPr/>
      </xdr:nvGrpSpPr>
      <xdr:grpSpPr>
        <a:xfrm>
          <a:off x="431800" y="3611879"/>
          <a:ext cx="2661797" cy="438575"/>
          <a:chOff x="431800" y="3621695"/>
          <a:chExt cx="2661797" cy="440124"/>
        </a:xfrm>
      </xdr:grpSpPr>
      <xdr:sp macro="" textlink="">
        <xdr:nvSpPr>
          <xdr:cNvPr id="23" name="Retângulo 22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4DBCCAC5-11FA-184A-EC67-91C840394D12}"/>
              </a:ext>
            </a:extLst>
          </xdr:cNvPr>
          <xdr:cNvSpPr/>
        </xdr:nvSpPr>
        <xdr:spPr>
          <a:xfrm>
            <a:off x="431800" y="3647097"/>
            <a:ext cx="2511398" cy="414722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4" name="CaixaDeTexto 2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3E25E1B-9B87-8DEB-E381-82CA4AB66F4C}"/>
              </a:ext>
            </a:extLst>
          </xdr:cNvPr>
          <xdr:cNvSpPr txBox="1"/>
        </xdr:nvSpPr>
        <xdr:spPr>
          <a:xfrm>
            <a:off x="724709" y="3621695"/>
            <a:ext cx="2368888" cy="400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Filtros</a:t>
            </a:r>
          </a:p>
        </xdr:txBody>
      </xdr:sp>
      <xdr:sp macro="" textlink="">
        <xdr:nvSpPr>
          <xdr:cNvPr id="19" name="Seta: para a Direita 1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CF4436E-073F-4F91-A926-884B0D07E1C0}"/>
              </a:ext>
            </a:extLst>
          </xdr:cNvPr>
          <xdr:cNvSpPr/>
        </xdr:nvSpPr>
        <xdr:spPr>
          <a:xfrm>
            <a:off x="613409" y="3821693"/>
            <a:ext cx="103337" cy="101549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0</xdr:col>
      <xdr:colOff>431800</xdr:colOff>
      <xdr:row>22</xdr:row>
      <xdr:rowOff>143933</xdr:rowOff>
    </xdr:from>
    <xdr:to>
      <xdr:col>5</xdr:col>
      <xdr:colOff>45597</xdr:colOff>
      <xdr:row>25</xdr:row>
      <xdr:rowOff>33868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6343C3B8-AF53-881B-BF55-73F37D6BED85}"/>
            </a:ext>
          </a:extLst>
        </xdr:cNvPr>
        <xdr:cNvGrpSpPr/>
      </xdr:nvGrpSpPr>
      <xdr:grpSpPr>
        <a:xfrm>
          <a:off x="431800" y="4167293"/>
          <a:ext cx="2661797" cy="438575"/>
          <a:chOff x="431800" y="4178658"/>
          <a:chExt cx="2661797" cy="440125"/>
        </a:xfrm>
      </xdr:grpSpPr>
      <xdr:sp macro="" textlink="">
        <xdr:nvSpPr>
          <xdr:cNvPr id="26" name="Retângulo 2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97A34586-23DE-B31B-B701-B6F30D1E3A63}"/>
              </a:ext>
            </a:extLst>
          </xdr:cNvPr>
          <xdr:cNvSpPr/>
        </xdr:nvSpPr>
        <xdr:spPr>
          <a:xfrm>
            <a:off x="431800" y="4204060"/>
            <a:ext cx="2511398" cy="41472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7" name="CaixaDeTexto 26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2D61D2E-F8A3-F473-6564-FD22E53434D8}"/>
              </a:ext>
            </a:extLst>
          </xdr:cNvPr>
          <xdr:cNvSpPr txBox="1"/>
        </xdr:nvSpPr>
        <xdr:spPr>
          <a:xfrm>
            <a:off x="724709" y="4178658"/>
            <a:ext cx="2368888" cy="4006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Gráficos básicos</a:t>
            </a:r>
          </a:p>
        </xdr:txBody>
      </xdr:sp>
      <xdr:sp macro="" textlink="">
        <xdr:nvSpPr>
          <xdr:cNvPr id="22" name="Seta: para a Direita 2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4B1EB491-8478-4F93-8D4B-A0A904E52580}"/>
              </a:ext>
            </a:extLst>
          </xdr:cNvPr>
          <xdr:cNvSpPr/>
        </xdr:nvSpPr>
        <xdr:spPr>
          <a:xfrm>
            <a:off x="613409" y="4378075"/>
            <a:ext cx="103337" cy="101549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0</xdr:col>
      <xdr:colOff>0</xdr:colOff>
      <xdr:row>25</xdr:row>
      <xdr:rowOff>30480</xdr:rowOff>
    </xdr:from>
    <xdr:to>
      <xdr:col>4</xdr:col>
      <xdr:colOff>464820</xdr:colOff>
      <xdr:row>29</xdr:row>
      <xdr:rowOff>80434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C78414D-493E-49AF-BAC6-FC105741192D}"/>
            </a:ext>
          </a:extLst>
        </xdr:cNvPr>
        <xdr:cNvSpPr txBox="1"/>
      </xdr:nvSpPr>
      <xdr:spPr>
        <a:xfrm>
          <a:off x="0" y="4602480"/>
          <a:ext cx="2903220" cy="781474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 kern="120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SOLU</a:t>
          </a:r>
          <a:r>
            <a:rPr lang="pt-BR" sz="3200" b="1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 CAPACITA</a:t>
          </a:r>
        </a:p>
      </xdr:txBody>
    </xdr:sp>
    <xdr:clientData/>
  </xdr:twoCellAnchor>
  <xdr:twoCellAnchor>
    <xdr:from>
      <xdr:col>10</xdr:col>
      <xdr:colOff>7620</xdr:colOff>
      <xdr:row>2</xdr:row>
      <xdr:rowOff>99060</xdr:rowOff>
    </xdr:from>
    <xdr:to>
      <xdr:col>17</xdr:col>
      <xdr:colOff>7620</xdr:colOff>
      <xdr:row>6</xdr:row>
      <xdr:rowOff>95674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DD32C52-5A22-48A3-B517-27CE01FD44C9}"/>
            </a:ext>
          </a:extLst>
        </xdr:cNvPr>
        <xdr:cNvSpPr txBox="1"/>
      </xdr:nvSpPr>
      <xdr:spPr>
        <a:xfrm>
          <a:off x="6103620" y="464820"/>
          <a:ext cx="4267200" cy="728134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 u="sng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INTRODUÇÃO</a:t>
          </a:r>
        </a:p>
      </xdr:txBody>
    </xdr:sp>
    <xdr:clientData/>
  </xdr:twoCellAnchor>
  <xdr:twoCellAnchor>
    <xdr:from>
      <xdr:col>6</xdr:col>
      <xdr:colOff>586740</xdr:colOff>
      <xdr:row>4</xdr:row>
      <xdr:rowOff>45720</xdr:rowOff>
    </xdr:from>
    <xdr:to>
      <xdr:col>20</xdr:col>
      <xdr:colOff>7620</xdr:colOff>
      <xdr:row>29</xdr:row>
      <xdr:rowOff>152400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8C75726C-876A-2C43-2B7D-D38188CB41D5}"/>
            </a:ext>
          </a:extLst>
        </xdr:cNvPr>
        <xdr:cNvSpPr txBox="1"/>
      </xdr:nvSpPr>
      <xdr:spPr>
        <a:xfrm>
          <a:off x="4244340" y="777240"/>
          <a:ext cx="7955280" cy="4678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latin typeface="Bahnschrift Light SemiCondensed" panose="020B0502040204020203" pitchFamily="34" charset="0"/>
              <a:cs typeface="Aparajita" panose="020B0502040204020203" pitchFamily="18" charset="0"/>
            </a:rPr>
            <a:t>Bem-vindos ao nosso minicurso de Excel Básico! Hoje, vamos aprender como usar algumas das ferramentas básicas do Excel, que podem ajudar na</a:t>
          </a:r>
          <a:r>
            <a:rPr lang="pt-BR" sz="2000" b="1" baseline="0">
              <a:latin typeface="Bahnschrift Light SemiCondensed" panose="020B0502040204020203" pitchFamily="34" charset="0"/>
              <a:cs typeface="Aparajita" panose="020B0502040204020203" pitchFamily="18" charset="0"/>
            </a:rPr>
            <a:t> sua trajetória pessoal e profissonal.</a:t>
          </a:r>
        </a:p>
        <a:p>
          <a:pPr algn="ctr"/>
          <a:endParaRPr lang="pt-BR" sz="2000" b="1" kern="1200" baseline="0">
            <a:latin typeface="Bahnschrift Light SemiCondensed" panose="020B0502040204020203" pitchFamily="34" charset="0"/>
            <a:cs typeface="Aparajita" panose="020B0502040204020203" pitchFamily="18" charset="0"/>
          </a:endParaRPr>
        </a:p>
        <a:p>
          <a:pPr algn="ctr"/>
          <a:r>
            <a:rPr lang="pt-BR" sz="2000" b="1" kern="1200" baseline="0">
              <a:latin typeface="Bahnschrift Light SemiCondensed" panose="020B0502040204020203" pitchFamily="34" charset="0"/>
              <a:cs typeface="Aparajita" panose="020B0502040204020203" pitchFamily="18" charset="0"/>
            </a:rPr>
            <a:t>À esquerda, vocês podem encontrar um menu de opções onde estão todos os conteúdos que serão abordados neste minicurso. Basta clicar em uma das caixas para ser redirecionado à planilha referente ao conteúdo!</a:t>
          </a:r>
          <a:endParaRPr lang="pt-BR" sz="2000" b="1" kern="1200">
            <a:latin typeface="Bahnschrift Light SemiCondensed" panose="020B0502040204020203" pitchFamily="34" charset="0"/>
            <a:cs typeface="Aparajita" panose="020B0502040204020203" pitchFamily="18" charset="0"/>
          </a:endParaRPr>
        </a:p>
      </xdr:txBody>
    </xdr:sp>
    <xdr:clientData/>
  </xdr:twoCellAnchor>
  <xdr:twoCellAnchor editAs="oneCell">
    <xdr:from>
      <xdr:col>21</xdr:col>
      <xdr:colOff>81602</xdr:colOff>
      <xdr:row>25</xdr:row>
      <xdr:rowOff>60960</xdr:rowOff>
    </xdr:from>
    <xdr:to>
      <xdr:col>23</xdr:col>
      <xdr:colOff>358140</xdr:colOff>
      <xdr:row>30</xdr:row>
      <xdr:rowOff>7620</xdr:rowOff>
    </xdr:to>
    <xdr:pic>
      <xdr:nvPicPr>
        <xdr:cNvPr id="29" name="Imagem 28" descr="Excel: quais os principais comandos usados? - Adv Engenharia">
          <a:extLst>
            <a:ext uri="{FF2B5EF4-FFF2-40B4-BE49-F238E27FC236}">
              <a16:creationId xmlns:a16="http://schemas.microsoft.com/office/drawing/2014/main" id="{C15F8B3B-7128-28D1-90C6-113232545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3202" y="4632960"/>
          <a:ext cx="1495738" cy="86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482600</xdr:colOff>
      <xdr:row>31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22479B9-4AC4-4C7F-8707-2AE6807C9479}"/>
            </a:ext>
          </a:extLst>
        </xdr:cNvPr>
        <xdr:cNvSpPr/>
      </xdr:nvSpPr>
      <xdr:spPr>
        <a:xfrm>
          <a:off x="0" y="0"/>
          <a:ext cx="2921000" cy="5669280"/>
        </a:xfrm>
        <a:prstGeom prst="rect">
          <a:avLst/>
        </a:prstGeom>
        <a:solidFill>
          <a:srgbClr val="0D4E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140547</xdr:colOff>
      <xdr:row>0</xdr:row>
      <xdr:rowOff>127846</xdr:rowOff>
    </xdr:from>
    <xdr:to>
      <xdr:col>4</xdr:col>
      <xdr:colOff>330147</xdr:colOff>
      <xdr:row>6</xdr:row>
      <xdr:rowOff>18246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69521AAF-77FA-4E5C-BEE2-9B96B221F31F}"/>
            </a:ext>
          </a:extLst>
        </xdr:cNvPr>
        <xdr:cNvGrpSpPr/>
      </xdr:nvGrpSpPr>
      <xdr:grpSpPr>
        <a:xfrm>
          <a:off x="140547" y="127846"/>
          <a:ext cx="2628000" cy="987680"/>
          <a:chOff x="9616440" y="281940"/>
          <a:chExt cx="2491740" cy="929640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4DEA625A-100B-FBD6-033F-8D778AC87259}"/>
              </a:ext>
            </a:extLst>
          </xdr:cNvPr>
          <xdr:cNvSpPr/>
        </xdr:nvSpPr>
        <xdr:spPr>
          <a:xfrm>
            <a:off x="9616440" y="281940"/>
            <a:ext cx="2491740" cy="92964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83236D92-BD54-8B6C-2FBB-603B2AC7F2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822180" y="441960"/>
            <a:ext cx="2124075" cy="60007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absolute">
    <xdr:from>
      <xdr:col>0</xdr:col>
      <xdr:colOff>203200</xdr:colOff>
      <xdr:row>7</xdr:row>
      <xdr:rowOff>110065</xdr:rowOff>
    </xdr:from>
    <xdr:to>
      <xdr:col>4</xdr:col>
      <xdr:colOff>584200</xdr:colOff>
      <xdr:row>10</xdr:row>
      <xdr:rowOff>25399</xdr:rowOff>
    </xdr:to>
    <xdr:grpSp>
      <xdr:nvGrpSpPr>
        <xdr:cNvPr id="120" name="Agrupar 1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72FA81-5654-937D-835D-FDC5BDC93242}"/>
            </a:ext>
          </a:extLst>
        </xdr:cNvPr>
        <xdr:cNvGrpSpPr/>
      </xdr:nvGrpSpPr>
      <xdr:grpSpPr>
        <a:xfrm>
          <a:off x="203200" y="1390225"/>
          <a:ext cx="2819400" cy="463974"/>
          <a:chOff x="203200" y="1390225"/>
          <a:chExt cx="2819400" cy="463974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720BEEA7-9D6D-41A8-94A8-A12FE57F11D9}"/>
              </a:ext>
            </a:extLst>
          </xdr:cNvPr>
          <xdr:cNvGrpSpPr/>
        </xdr:nvGrpSpPr>
        <xdr:grpSpPr>
          <a:xfrm>
            <a:off x="203200" y="1390225"/>
            <a:ext cx="2819400" cy="463974"/>
            <a:chOff x="203200" y="1413932"/>
            <a:chExt cx="2819400" cy="474134"/>
          </a:xfrm>
        </xdr:grpSpPr>
        <xdr:sp macro="" textlink="">
          <xdr:nvSpPr>
            <xdr:cNvPr id="9" name="Retângulo 8">
              <a:extLst>
                <a:ext uri="{FF2B5EF4-FFF2-40B4-BE49-F238E27FC236}">
                  <a16:creationId xmlns:a16="http://schemas.microsoft.com/office/drawing/2014/main" id="{AC1A202B-FCC2-FE75-174B-056F49C72FAC}"/>
                </a:ext>
              </a:extLst>
            </xdr:cNvPr>
            <xdr:cNvSpPr/>
          </xdr:nvSpPr>
          <xdr:spPr>
            <a:xfrm>
              <a:off x="203200" y="1464733"/>
              <a:ext cx="2819400" cy="423333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D60E51DE-74C1-3797-87DB-BD88CB402517}"/>
                </a:ext>
              </a:extLst>
            </xdr:cNvPr>
            <xdr:cNvSpPr txBox="1"/>
          </xdr:nvSpPr>
          <xdr:spPr>
            <a:xfrm>
              <a:off x="440264" y="1413932"/>
              <a:ext cx="2573867" cy="4064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800" b="1" kern="120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EXCEL</a:t>
              </a:r>
              <a:r>
                <a:rPr lang="pt-BR" sz="2800" b="1" kern="1200" baseline="0">
                  <a:ln>
                    <a:solidFill>
                      <a:sysClr val="windowText" lastClr="000000"/>
                    </a:solidFill>
                  </a:ln>
                  <a:solidFill>
                    <a:srgbClr val="FAB328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rPr>
                <a:t> </a:t>
              </a:r>
              <a:r>
                <a:rPr lang="pt-BR" sz="2800" b="1" kern="1200" baseline="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básico</a:t>
              </a:r>
              <a:endParaRPr lang="pt-BR" sz="2800" b="1" kern="1200">
                <a:ln>
                  <a:solidFill>
                    <a:srgbClr val="FAB328"/>
                  </a:solidFill>
                </a:ln>
                <a:solidFill>
                  <a:srgbClr val="FAB328"/>
                </a:solidFill>
                <a:effectLst/>
              </a:endParaRPr>
            </a:p>
          </xdr:txBody>
        </xdr:sp>
      </xdr:grpSp>
      <xdr:sp macro="" textlink="">
        <xdr:nvSpPr>
          <xdr:cNvPr id="21" name="Seta: para a Direita 20">
            <a:extLst>
              <a:ext uri="{FF2B5EF4-FFF2-40B4-BE49-F238E27FC236}">
                <a16:creationId xmlns:a16="http://schemas.microsoft.com/office/drawing/2014/main" id="{2F046B6E-80F1-40E4-B48C-AF99B982EEDC}"/>
              </a:ext>
            </a:extLst>
          </xdr:cNvPr>
          <xdr:cNvSpPr/>
        </xdr:nvSpPr>
        <xdr:spPr>
          <a:xfrm rot="5400000">
            <a:off x="311618" y="1568521"/>
            <a:ext cx="155921" cy="167325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10</xdr:row>
      <xdr:rowOff>133771</xdr:rowOff>
    </xdr:from>
    <xdr:to>
      <xdr:col>4</xdr:col>
      <xdr:colOff>578997</xdr:colOff>
      <xdr:row>13</xdr:row>
      <xdr:rowOff>23706</xdr:rowOff>
    </xdr:to>
    <xdr:grpSp>
      <xdr:nvGrpSpPr>
        <xdr:cNvPr id="121" name="Agrupar 1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BCC9D2-4B7D-CDE1-AC8F-E5D13492C6A9}"/>
            </a:ext>
          </a:extLst>
        </xdr:cNvPr>
        <xdr:cNvGrpSpPr/>
      </xdr:nvGrpSpPr>
      <xdr:grpSpPr>
        <a:xfrm>
          <a:off x="431800" y="1962571"/>
          <a:ext cx="2585597" cy="438575"/>
          <a:chOff x="431800" y="1962571"/>
          <a:chExt cx="2585597" cy="438575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D0F5B021-6FB7-459D-9900-F755C072BD67}"/>
              </a:ext>
            </a:extLst>
          </xdr:cNvPr>
          <xdr:cNvSpPr/>
        </xdr:nvSpPr>
        <xdr:spPr>
          <a:xfrm>
            <a:off x="431800" y="198797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4498F512-C4DD-4C74-AAE9-F867BBEFDAC3}"/>
              </a:ext>
            </a:extLst>
          </xdr:cNvPr>
          <xdr:cNvSpPr txBox="1"/>
        </xdr:nvSpPr>
        <xdr:spPr>
          <a:xfrm>
            <a:off x="724709" y="1962571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Interface</a:t>
            </a:r>
          </a:p>
        </xdr:txBody>
      </xdr:sp>
      <xdr:sp macro="" textlink="">
        <xdr:nvSpPr>
          <xdr:cNvPr id="22" name="Seta: para a Direita 21">
            <a:extLst>
              <a:ext uri="{FF2B5EF4-FFF2-40B4-BE49-F238E27FC236}">
                <a16:creationId xmlns:a16="http://schemas.microsoft.com/office/drawing/2014/main" id="{3E6363BE-C53E-4FCD-B43F-0C1060EE3AA1}"/>
              </a:ext>
            </a:extLst>
          </xdr:cNvPr>
          <xdr:cNvSpPr/>
        </xdr:nvSpPr>
        <xdr:spPr>
          <a:xfrm>
            <a:off x="613409" y="2146868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13</xdr:row>
      <xdr:rowOff>140545</xdr:rowOff>
    </xdr:from>
    <xdr:to>
      <xdr:col>4</xdr:col>
      <xdr:colOff>578997</xdr:colOff>
      <xdr:row>16</xdr:row>
      <xdr:rowOff>13546</xdr:rowOff>
    </xdr:to>
    <xdr:grpSp>
      <xdr:nvGrpSpPr>
        <xdr:cNvPr id="122" name="Agrupar 1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8FD59C-93C9-264E-9DDF-89392FF93E9D}"/>
            </a:ext>
          </a:extLst>
        </xdr:cNvPr>
        <xdr:cNvGrpSpPr/>
      </xdr:nvGrpSpPr>
      <xdr:grpSpPr>
        <a:xfrm>
          <a:off x="431800" y="2517985"/>
          <a:ext cx="2585597" cy="421641"/>
          <a:chOff x="431800" y="2517985"/>
          <a:chExt cx="2585597" cy="421641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8AD0DC33-9C36-4649-B9D4-40C5B4138D60}"/>
              </a:ext>
            </a:extLst>
          </xdr:cNvPr>
          <xdr:cNvSpPr/>
        </xdr:nvSpPr>
        <xdr:spPr>
          <a:xfrm>
            <a:off x="431800" y="252645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9DD7B52C-D8F0-418C-B86A-B4D5FAF3467F}"/>
              </a:ext>
            </a:extLst>
          </xdr:cNvPr>
          <xdr:cNvSpPr txBox="1"/>
        </xdr:nvSpPr>
        <xdr:spPr>
          <a:xfrm>
            <a:off x="724709" y="2517985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Formatação</a:t>
            </a:r>
          </a:p>
        </xdr:txBody>
      </xdr:sp>
      <xdr:sp macro="" textlink="">
        <xdr:nvSpPr>
          <xdr:cNvPr id="23" name="Seta: para a Direita 22">
            <a:extLst>
              <a:ext uri="{FF2B5EF4-FFF2-40B4-BE49-F238E27FC236}">
                <a16:creationId xmlns:a16="http://schemas.microsoft.com/office/drawing/2014/main" id="{F411EB17-EF7A-4EDA-99BD-C3877BF778A0}"/>
              </a:ext>
            </a:extLst>
          </xdr:cNvPr>
          <xdr:cNvSpPr/>
        </xdr:nvSpPr>
        <xdr:spPr>
          <a:xfrm>
            <a:off x="613409" y="2701699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16</xdr:row>
      <xdr:rowOff>130385</xdr:rowOff>
    </xdr:from>
    <xdr:to>
      <xdr:col>5</xdr:col>
      <xdr:colOff>45597</xdr:colOff>
      <xdr:row>19</xdr:row>
      <xdr:rowOff>20320</xdr:rowOff>
    </xdr:to>
    <xdr:grpSp>
      <xdr:nvGrpSpPr>
        <xdr:cNvPr id="123" name="Agrupar 1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DFACB4-9FE1-9A0C-EF1D-BA46418CF7CF}"/>
            </a:ext>
          </a:extLst>
        </xdr:cNvPr>
        <xdr:cNvGrpSpPr/>
      </xdr:nvGrpSpPr>
      <xdr:grpSpPr>
        <a:xfrm>
          <a:off x="431800" y="3056465"/>
          <a:ext cx="2661797" cy="438575"/>
          <a:chOff x="431800" y="3056465"/>
          <a:chExt cx="2661797" cy="438575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65E33BA7-246E-4B47-B60D-32C0207891F0}"/>
              </a:ext>
            </a:extLst>
          </xdr:cNvPr>
          <xdr:cNvSpPr/>
        </xdr:nvSpPr>
        <xdr:spPr>
          <a:xfrm>
            <a:off x="431800" y="3081867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F96E33D3-9E81-40F1-B9FA-5585D42FEDC2}"/>
              </a:ext>
            </a:extLst>
          </xdr:cNvPr>
          <xdr:cNvSpPr txBox="1"/>
        </xdr:nvSpPr>
        <xdr:spPr>
          <a:xfrm>
            <a:off x="724709" y="3056465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Fórmulas </a:t>
            </a:r>
          </a:p>
        </xdr:txBody>
      </xdr:sp>
      <xdr:sp macro="" textlink="">
        <xdr:nvSpPr>
          <xdr:cNvPr id="24" name="Seta: para a Direita 23">
            <a:extLst>
              <a:ext uri="{FF2B5EF4-FFF2-40B4-BE49-F238E27FC236}">
                <a16:creationId xmlns:a16="http://schemas.microsoft.com/office/drawing/2014/main" id="{1629C9B1-708F-4859-871E-D5ECF52CBF36}"/>
              </a:ext>
            </a:extLst>
          </xdr:cNvPr>
          <xdr:cNvSpPr/>
        </xdr:nvSpPr>
        <xdr:spPr>
          <a:xfrm>
            <a:off x="613409" y="3256530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19</xdr:row>
      <xdr:rowOff>137159</xdr:rowOff>
    </xdr:from>
    <xdr:to>
      <xdr:col>5</xdr:col>
      <xdr:colOff>45597</xdr:colOff>
      <xdr:row>22</xdr:row>
      <xdr:rowOff>27094</xdr:rowOff>
    </xdr:to>
    <xdr:grpSp>
      <xdr:nvGrpSpPr>
        <xdr:cNvPr id="124" name="Agrupar 1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53570C-10AD-3C6A-22D1-0A9131ED7F35}"/>
            </a:ext>
          </a:extLst>
        </xdr:cNvPr>
        <xdr:cNvGrpSpPr/>
      </xdr:nvGrpSpPr>
      <xdr:grpSpPr>
        <a:xfrm>
          <a:off x="431800" y="3611879"/>
          <a:ext cx="2661797" cy="438575"/>
          <a:chOff x="431800" y="3611879"/>
          <a:chExt cx="2661797" cy="438575"/>
        </a:xfrm>
      </xdr:grpSpPr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DC7A591D-1E59-4634-8B90-19D600D963E2}"/>
              </a:ext>
            </a:extLst>
          </xdr:cNvPr>
          <xdr:cNvSpPr/>
        </xdr:nvSpPr>
        <xdr:spPr>
          <a:xfrm>
            <a:off x="431800" y="3637281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C3FF6C37-7383-497A-A8B2-8DB1ED1A43D0}"/>
              </a:ext>
            </a:extLst>
          </xdr:cNvPr>
          <xdr:cNvSpPr txBox="1"/>
        </xdr:nvSpPr>
        <xdr:spPr>
          <a:xfrm>
            <a:off x="724709" y="3611879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Filtros</a:t>
            </a:r>
          </a:p>
        </xdr:txBody>
      </xdr:sp>
      <xdr:sp macro="" textlink="">
        <xdr:nvSpPr>
          <xdr:cNvPr id="25" name="Seta: para a Direita 24">
            <a:extLst>
              <a:ext uri="{FF2B5EF4-FFF2-40B4-BE49-F238E27FC236}">
                <a16:creationId xmlns:a16="http://schemas.microsoft.com/office/drawing/2014/main" id="{06F6FAAD-26B6-453C-B5FA-286B2477422E}"/>
              </a:ext>
            </a:extLst>
          </xdr:cNvPr>
          <xdr:cNvSpPr/>
        </xdr:nvSpPr>
        <xdr:spPr>
          <a:xfrm>
            <a:off x="613409" y="3811361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22</xdr:row>
      <xdr:rowOff>143933</xdr:rowOff>
    </xdr:from>
    <xdr:to>
      <xdr:col>5</xdr:col>
      <xdr:colOff>45597</xdr:colOff>
      <xdr:row>25</xdr:row>
      <xdr:rowOff>33868</xdr:rowOff>
    </xdr:to>
    <xdr:grpSp>
      <xdr:nvGrpSpPr>
        <xdr:cNvPr id="125" name="Agrupar 1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356694-523D-4718-B37D-51E5EB61F807}"/>
            </a:ext>
          </a:extLst>
        </xdr:cNvPr>
        <xdr:cNvGrpSpPr/>
      </xdr:nvGrpSpPr>
      <xdr:grpSpPr>
        <a:xfrm>
          <a:off x="431800" y="4167293"/>
          <a:ext cx="2661797" cy="438575"/>
          <a:chOff x="431800" y="4167293"/>
          <a:chExt cx="2661797" cy="438575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52861415-DD5C-49B9-8765-50AEFA902DC1}"/>
              </a:ext>
            </a:extLst>
          </xdr:cNvPr>
          <xdr:cNvSpPr/>
        </xdr:nvSpPr>
        <xdr:spPr>
          <a:xfrm>
            <a:off x="431800" y="4192695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D2D454FF-1A01-4414-B8BA-B9A77B2266CD}"/>
              </a:ext>
            </a:extLst>
          </xdr:cNvPr>
          <xdr:cNvSpPr txBox="1"/>
        </xdr:nvSpPr>
        <xdr:spPr>
          <a:xfrm>
            <a:off x="724709" y="4167293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Gráficos básicos</a:t>
            </a:r>
          </a:p>
        </xdr:txBody>
      </xdr:sp>
      <xdr:sp macro="" textlink="">
        <xdr:nvSpPr>
          <xdr:cNvPr id="26" name="Seta: para a Direita 25">
            <a:extLst>
              <a:ext uri="{FF2B5EF4-FFF2-40B4-BE49-F238E27FC236}">
                <a16:creationId xmlns:a16="http://schemas.microsoft.com/office/drawing/2014/main" id="{3DD53C00-68DF-4DE8-AF5F-FD65A5E1BB64}"/>
              </a:ext>
            </a:extLst>
          </xdr:cNvPr>
          <xdr:cNvSpPr/>
        </xdr:nvSpPr>
        <xdr:spPr>
          <a:xfrm>
            <a:off x="613409" y="4366193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0</xdr:colOff>
      <xdr:row>25</xdr:row>
      <xdr:rowOff>30480</xdr:rowOff>
    </xdr:from>
    <xdr:to>
      <xdr:col>4</xdr:col>
      <xdr:colOff>464820</xdr:colOff>
      <xdr:row>29</xdr:row>
      <xdr:rowOff>80434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00CEEF85-30F0-41B0-ACBB-6D62C5E765FA}"/>
            </a:ext>
          </a:extLst>
        </xdr:cNvPr>
        <xdr:cNvSpPr txBox="1"/>
      </xdr:nvSpPr>
      <xdr:spPr>
        <a:xfrm>
          <a:off x="0" y="4602480"/>
          <a:ext cx="2903220" cy="781474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 kern="120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SOLU</a:t>
          </a:r>
          <a:r>
            <a:rPr lang="pt-BR" sz="3200" b="1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 CAPACITA</a:t>
          </a:r>
        </a:p>
      </xdr:txBody>
    </xdr:sp>
    <xdr:clientData/>
  </xdr:twoCellAnchor>
  <xdr:twoCellAnchor editAs="absolute">
    <xdr:from>
      <xdr:col>10</xdr:col>
      <xdr:colOff>7620</xdr:colOff>
      <xdr:row>1</xdr:row>
      <xdr:rowOff>7620</xdr:rowOff>
    </xdr:from>
    <xdr:to>
      <xdr:col>17</xdr:col>
      <xdr:colOff>0</xdr:colOff>
      <xdr:row>5</xdr:row>
      <xdr:rowOff>11207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C115C146-60B6-4B37-ABC8-A28C26148B87}"/>
            </a:ext>
          </a:extLst>
        </xdr:cNvPr>
        <xdr:cNvSpPr txBox="1"/>
      </xdr:nvSpPr>
      <xdr:spPr>
        <a:xfrm>
          <a:off x="6103620" y="190500"/>
          <a:ext cx="4259580" cy="735107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 kern="1200">
              <a:ln>
                <a:solidFill>
                  <a:sysClr val="windowText" lastClr="000000"/>
                </a:solidFill>
              </a:ln>
              <a:solidFill>
                <a:srgbClr val="FAB328"/>
              </a:solidFill>
            </a:rPr>
            <a:t>INTERFACE</a:t>
          </a:r>
          <a:endParaRPr lang="pt-BR" sz="3600" b="1" kern="1200" baseline="0">
            <a:ln>
              <a:solidFill>
                <a:sysClr val="windowText" lastClr="000000"/>
              </a:solidFill>
            </a:ln>
            <a:solidFill>
              <a:srgbClr val="FAB328"/>
            </a:solidFill>
          </a:endParaRPr>
        </a:p>
        <a:p>
          <a:endParaRPr lang="pt-BR" sz="1100" kern="1200">
            <a:ln>
              <a:solidFill>
                <a:sysClr val="windowText" lastClr="000000"/>
              </a:solidFill>
            </a:ln>
            <a:solidFill>
              <a:srgbClr val="FAB328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482600</xdr:colOff>
      <xdr:row>25</xdr:row>
      <xdr:rowOff>129540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CA1B79-EA8A-44FC-807A-2C1EF8A6737A}"/>
            </a:ext>
          </a:extLst>
        </xdr:cNvPr>
        <xdr:cNvSpPr/>
      </xdr:nvSpPr>
      <xdr:spPr>
        <a:xfrm>
          <a:off x="0" y="0"/>
          <a:ext cx="2921000" cy="5669280"/>
        </a:xfrm>
        <a:prstGeom prst="rect">
          <a:avLst/>
        </a:prstGeom>
        <a:solidFill>
          <a:srgbClr val="0D4E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140547</xdr:colOff>
      <xdr:row>0</xdr:row>
      <xdr:rowOff>127846</xdr:rowOff>
    </xdr:from>
    <xdr:to>
      <xdr:col>4</xdr:col>
      <xdr:colOff>330147</xdr:colOff>
      <xdr:row>6</xdr:row>
      <xdr:rowOff>18246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F0F5BFB-DC62-4C4A-B50E-25A2A31D44F0}"/>
            </a:ext>
          </a:extLst>
        </xdr:cNvPr>
        <xdr:cNvGrpSpPr/>
      </xdr:nvGrpSpPr>
      <xdr:grpSpPr>
        <a:xfrm>
          <a:off x="140547" y="127846"/>
          <a:ext cx="2628000" cy="966165"/>
          <a:chOff x="9616440" y="281940"/>
          <a:chExt cx="2491740" cy="929640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DEA2263-BEF8-1E6E-89A5-4FCD6931E3D4}"/>
              </a:ext>
            </a:extLst>
          </xdr:cNvPr>
          <xdr:cNvSpPr/>
        </xdr:nvSpPr>
        <xdr:spPr>
          <a:xfrm>
            <a:off x="9616440" y="281940"/>
            <a:ext cx="2491740" cy="92964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6D6E9E2D-F537-EF7F-CE25-42DCCFF7BC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822180" y="441960"/>
            <a:ext cx="2124075" cy="60007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absolute">
    <xdr:from>
      <xdr:col>0</xdr:col>
      <xdr:colOff>203200</xdr:colOff>
      <xdr:row>7</xdr:row>
      <xdr:rowOff>110065</xdr:rowOff>
    </xdr:from>
    <xdr:to>
      <xdr:col>4</xdr:col>
      <xdr:colOff>584200</xdr:colOff>
      <xdr:row>10</xdr:row>
      <xdr:rowOff>25399</xdr:rowOff>
    </xdr:to>
    <xdr:grpSp>
      <xdr:nvGrpSpPr>
        <xdr:cNvPr id="8" name="Agrupar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C81B0B-5AE7-4228-A00E-3644382A122D}"/>
            </a:ext>
          </a:extLst>
        </xdr:cNvPr>
        <xdr:cNvGrpSpPr/>
      </xdr:nvGrpSpPr>
      <xdr:grpSpPr>
        <a:xfrm>
          <a:off x="203200" y="1365124"/>
          <a:ext cx="2819400" cy="453216"/>
          <a:chOff x="203200" y="1390225"/>
          <a:chExt cx="2819400" cy="463974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35FA3478-BD0F-3530-2B4B-506BD01A72AC}"/>
              </a:ext>
            </a:extLst>
          </xdr:cNvPr>
          <xdr:cNvGrpSpPr/>
        </xdr:nvGrpSpPr>
        <xdr:grpSpPr>
          <a:xfrm>
            <a:off x="203200" y="1390225"/>
            <a:ext cx="2819400" cy="463974"/>
            <a:chOff x="203200" y="1413932"/>
            <a:chExt cx="2819400" cy="474134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545882AF-D637-5D14-A62A-06DE4044821C}"/>
                </a:ext>
              </a:extLst>
            </xdr:cNvPr>
            <xdr:cNvSpPr/>
          </xdr:nvSpPr>
          <xdr:spPr>
            <a:xfrm>
              <a:off x="203200" y="1464733"/>
              <a:ext cx="2819400" cy="423333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8159EB37-3BFA-464B-0D7E-CDDCAE71BAE2}"/>
                </a:ext>
              </a:extLst>
            </xdr:cNvPr>
            <xdr:cNvSpPr txBox="1"/>
          </xdr:nvSpPr>
          <xdr:spPr>
            <a:xfrm>
              <a:off x="440264" y="1413932"/>
              <a:ext cx="2573867" cy="4064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800" b="1" kern="120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EXCEL</a:t>
              </a:r>
              <a:r>
                <a:rPr lang="pt-BR" sz="2800" b="1" kern="1200" baseline="0">
                  <a:ln>
                    <a:solidFill>
                      <a:sysClr val="windowText" lastClr="000000"/>
                    </a:solidFill>
                  </a:ln>
                  <a:solidFill>
                    <a:srgbClr val="FAB328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rPr>
                <a:t> </a:t>
              </a:r>
              <a:r>
                <a:rPr lang="pt-BR" sz="2800" b="1" kern="1200" baseline="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básico</a:t>
              </a:r>
              <a:endParaRPr lang="pt-BR" sz="2800" b="1" kern="1200">
                <a:ln>
                  <a:solidFill>
                    <a:srgbClr val="FAB328"/>
                  </a:solidFill>
                </a:ln>
                <a:solidFill>
                  <a:srgbClr val="FAB328"/>
                </a:solidFill>
                <a:effectLst/>
              </a:endParaRPr>
            </a:p>
          </xdr:txBody>
        </xdr:sp>
      </xdr:grpSp>
      <xdr:sp macro="" textlink="">
        <xdr:nvSpPr>
          <xdr:cNvPr id="10" name="Seta: para a Direita 9">
            <a:extLst>
              <a:ext uri="{FF2B5EF4-FFF2-40B4-BE49-F238E27FC236}">
                <a16:creationId xmlns:a16="http://schemas.microsoft.com/office/drawing/2014/main" id="{9B38ED64-BACC-9F7F-5DF9-204B9D56149F}"/>
              </a:ext>
            </a:extLst>
          </xdr:cNvPr>
          <xdr:cNvSpPr/>
        </xdr:nvSpPr>
        <xdr:spPr>
          <a:xfrm rot="5400000">
            <a:off x="311618" y="1568521"/>
            <a:ext cx="155921" cy="167325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10</xdr:row>
      <xdr:rowOff>133771</xdr:rowOff>
    </xdr:from>
    <xdr:to>
      <xdr:col>4</xdr:col>
      <xdr:colOff>578997</xdr:colOff>
      <xdr:row>13</xdr:row>
      <xdr:rowOff>23706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41169B-BD7D-4844-A44C-94EE186D7D80}"/>
            </a:ext>
          </a:extLst>
        </xdr:cNvPr>
        <xdr:cNvGrpSpPr/>
      </xdr:nvGrpSpPr>
      <xdr:grpSpPr>
        <a:xfrm>
          <a:off x="431800" y="1926712"/>
          <a:ext cx="2585597" cy="427818"/>
          <a:chOff x="431800" y="1962571"/>
          <a:chExt cx="2585597" cy="438575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850FE99F-6780-82FA-7980-6B0F46232D75}"/>
              </a:ext>
            </a:extLst>
          </xdr:cNvPr>
          <xdr:cNvSpPr/>
        </xdr:nvSpPr>
        <xdr:spPr>
          <a:xfrm>
            <a:off x="431800" y="198797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5A702999-ED1C-7A6C-2A76-9168F8FF8ED8}"/>
              </a:ext>
            </a:extLst>
          </xdr:cNvPr>
          <xdr:cNvSpPr txBox="1"/>
        </xdr:nvSpPr>
        <xdr:spPr>
          <a:xfrm>
            <a:off x="724709" y="1962571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Interface</a:t>
            </a:r>
          </a:p>
        </xdr:txBody>
      </xdr:sp>
      <xdr:sp macro="" textlink="">
        <xdr:nvSpPr>
          <xdr:cNvPr id="16" name="Seta: para a Direita 15">
            <a:extLst>
              <a:ext uri="{FF2B5EF4-FFF2-40B4-BE49-F238E27FC236}">
                <a16:creationId xmlns:a16="http://schemas.microsoft.com/office/drawing/2014/main" id="{0B325B29-153B-8F21-F658-E949E126F726}"/>
              </a:ext>
            </a:extLst>
          </xdr:cNvPr>
          <xdr:cNvSpPr/>
        </xdr:nvSpPr>
        <xdr:spPr>
          <a:xfrm>
            <a:off x="613409" y="2146868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13</xdr:row>
      <xdr:rowOff>140545</xdr:rowOff>
    </xdr:from>
    <xdr:to>
      <xdr:col>4</xdr:col>
      <xdr:colOff>578997</xdr:colOff>
      <xdr:row>16</xdr:row>
      <xdr:rowOff>13546</xdr:rowOff>
    </xdr:to>
    <xdr:grpSp>
      <xdr:nvGrpSpPr>
        <xdr:cNvPr id="17" name="Agrupar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4CC38A-1729-4866-B774-DF2938D8D108}"/>
            </a:ext>
          </a:extLst>
        </xdr:cNvPr>
        <xdr:cNvGrpSpPr/>
      </xdr:nvGrpSpPr>
      <xdr:grpSpPr>
        <a:xfrm>
          <a:off x="431800" y="2471369"/>
          <a:ext cx="2585597" cy="410883"/>
          <a:chOff x="431800" y="2517985"/>
          <a:chExt cx="2585597" cy="421641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D11AB195-E28E-3253-C983-F1F84741CA66}"/>
              </a:ext>
            </a:extLst>
          </xdr:cNvPr>
          <xdr:cNvSpPr/>
        </xdr:nvSpPr>
        <xdr:spPr>
          <a:xfrm>
            <a:off x="431800" y="252645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AAB04110-0E1A-9E37-BF0B-01C49B1BFBDA}"/>
              </a:ext>
            </a:extLst>
          </xdr:cNvPr>
          <xdr:cNvSpPr txBox="1"/>
        </xdr:nvSpPr>
        <xdr:spPr>
          <a:xfrm>
            <a:off x="724709" y="2517985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Formatação</a:t>
            </a:r>
          </a:p>
        </xdr:txBody>
      </xdr:sp>
      <xdr:sp macro="" textlink="">
        <xdr:nvSpPr>
          <xdr:cNvPr id="20" name="Seta: para a Direita 19">
            <a:extLst>
              <a:ext uri="{FF2B5EF4-FFF2-40B4-BE49-F238E27FC236}">
                <a16:creationId xmlns:a16="http://schemas.microsoft.com/office/drawing/2014/main" id="{307A472A-7C9F-9163-DC6D-7F3283A7528B}"/>
              </a:ext>
            </a:extLst>
          </xdr:cNvPr>
          <xdr:cNvSpPr/>
        </xdr:nvSpPr>
        <xdr:spPr>
          <a:xfrm>
            <a:off x="613409" y="2701699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16</xdr:row>
      <xdr:rowOff>130385</xdr:rowOff>
    </xdr:from>
    <xdr:to>
      <xdr:col>5</xdr:col>
      <xdr:colOff>45597</xdr:colOff>
      <xdr:row>19</xdr:row>
      <xdr:rowOff>12700</xdr:rowOff>
    </xdr:to>
    <xdr:grpSp>
      <xdr:nvGrpSpPr>
        <xdr:cNvPr id="21" name="Agrupar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5F4572-E815-43A4-8B08-9E9762ED8A6A}"/>
            </a:ext>
          </a:extLst>
        </xdr:cNvPr>
        <xdr:cNvGrpSpPr/>
      </xdr:nvGrpSpPr>
      <xdr:grpSpPr>
        <a:xfrm>
          <a:off x="431800" y="2999091"/>
          <a:ext cx="2661797" cy="429162"/>
          <a:chOff x="431800" y="3056465"/>
          <a:chExt cx="2661797" cy="438575"/>
        </a:xfrm>
      </xdr:grpSpPr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037B2C57-025E-5ACA-5451-672EAB75EF40}"/>
              </a:ext>
            </a:extLst>
          </xdr:cNvPr>
          <xdr:cNvSpPr/>
        </xdr:nvSpPr>
        <xdr:spPr>
          <a:xfrm>
            <a:off x="431800" y="3081867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47E07954-C620-9029-C4FD-49F209943870}"/>
              </a:ext>
            </a:extLst>
          </xdr:cNvPr>
          <xdr:cNvSpPr txBox="1"/>
        </xdr:nvSpPr>
        <xdr:spPr>
          <a:xfrm>
            <a:off x="724709" y="3056465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Fórmulas </a:t>
            </a:r>
          </a:p>
        </xdr:txBody>
      </xdr:sp>
      <xdr:sp macro="" textlink="">
        <xdr:nvSpPr>
          <xdr:cNvPr id="24" name="Seta: para a Direita 23">
            <a:extLst>
              <a:ext uri="{FF2B5EF4-FFF2-40B4-BE49-F238E27FC236}">
                <a16:creationId xmlns:a16="http://schemas.microsoft.com/office/drawing/2014/main" id="{D997189D-723E-7E2F-5CFF-9F542936A300}"/>
              </a:ext>
            </a:extLst>
          </xdr:cNvPr>
          <xdr:cNvSpPr/>
        </xdr:nvSpPr>
        <xdr:spPr>
          <a:xfrm>
            <a:off x="613409" y="3256530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19</xdr:row>
      <xdr:rowOff>129539</xdr:rowOff>
    </xdr:from>
    <xdr:to>
      <xdr:col>5</xdr:col>
      <xdr:colOff>45597</xdr:colOff>
      <xdr:row>21</xdr:row>
      <xdr:rowOff>42334</xdr:rowOff>
    </xdr:to>
    <xdr:grpSp>
      <xdr:nvGrpSpPr>
        <xdr:cNvPr id="25" name="Agrupar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98DCD4-5AD0-4D83-A917-FC61A2D0479D}"/>
            </a:ext>
          </a:extLst>
        </xdr:cNvPr>
        <xdr:cNvGrpSpPr/>
      </xdr:nvGrpSpPr>
      <xdr:grpSpPr>
        <a:xfrm>
          <a:off x="431800" y="3545092"/>
          <a:ext cx="2661797" cy="432748"/>
          <a:chOff x="431800" y="3611879"/>
          <a:chExt cx="2661797" cy="438575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C76AB580-97F1-14D9-4A6B-1F2A4801A16E}"/>
              </a:ext>
            </a:extLst>
          </xdr:cNvPr>
          <xdr:cNvSpPr/>
        </xdr:nvSpPr>
        <xdr:spPr>
          <a:xfrm>
            <a:off x="431800" y="3637281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D7685F9F-5E14-48DE-454C-743307484637}"/>
              </a:ext>
            </a:extLst>
          </xdr:cNvPr>
          <xdr:cNvSpPr txBox="1"/>
        </xdr:nvSpPr>
        <xdr:spPr>
          <a:xfrm>
            <a:off x="724709" y="3611879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Filtros</a:t>
            </a:r>
          </a:p>
        </xdr:txBody>
      </xdr:sp>
      <xdr:sp macro="" textlink="">
        <xdr:nvSpPr>
          <xdr:cNvPr id="28" name="Seta: para a Direita 27">
            <a:extLst>
              <a:ext uri="{FF2B5EF4-FFF2-40B4-BE49-F238E27FC236}">
                <a16:creationId xmlns:a16="http://schemas.microsoft.com/office/drawing/2014/main" id="{3F3FA21B-91BD-4C87-49D3-2011F475DAF6}"/>
              </a:ext>
            </a:extLst>
          </xdr:cNvPr>
          <xdr:cNvSpPr/>
        </xdr:nvSpPr>
        <xdr:spPr>
          <a:xfrm>
            <a:off x="613409" y="3811361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21</xdr:row>
      <xdr:rowOff>159173</xdr:rowOff>
    </xdr:from>
    <xdr:to>
      <xdr:col>5</xdr:col>
      <xdr:colOff>45597</xdr:colOff>
      <xdr:row>24</xdr:row>
      <xdr:rowOff>49108</xdr:rowOff>
    </xdr:to>
    <xdr:grpSp>
      <xdr:nvGrpSpPr>
        <xdr:cNvPr id="29" name="Agrupar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8B31F6-5397-41E9-9E8B-F0AC08CC55BE}"/>
            </a:ext>
          </a:extLst>
        </xdr:cNvPr>
        <xdr:cNvGrpSpPr/>
      </xdr:nvGrpSpPr>
      <xdr:grpSpPr>
        <a:xfrm>
          <a:off x="431800" y="4094679"/>
          <a:ext cx="2661797" cy="427817"/>
          <a:chOff x="431800" y="4167293"/>
          <a:chExt cx="2661797" cy="438575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0D03CAC1-8493-3E2F-95D6-E98965115D08}"/>
              </a:ext>
            </a:extLst>
          </xdr:cNvPr>
          <xdr:cNvSpPr/>
        </xdr:nvSpPr>
        <xdr:spPr>
          <a:xfrm>
            <a:off x="431800" y="4192695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DF236CB3-7271-C7D4-AEE7-05053F4A3B4A}"/>
              </a:ext>
            </a:extLst>
          </xdr:cNvPr>
          <xdr:cNvSpPr txBox="1"/>
        </xdr:nvSpPr>
        <xdr:spPr>
          <a:xfrm>
            <a:off x="724709" y="4167293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Gráficos básicos</a:t>
            </a:r>
          </a:p>
        </xdr:txBody>
      </xdr:sp>
      <xdr:sp macro="" textlink="">
        <xdr:nvSpPr>
          <xdr:cNvPr id="32" name="Seta: para a Direita 31">
            <a:extLst>
              <a:ext uri="{FF2B5EF4-FFF2-40B4-BE49-F238E27FC236}">
                <a16:creationId xmlns:a16="http://schemas.microsoft.com/office/drawing/2014/main" id="{715208EA-8303-261B-6FB6-A961279BD824}"/>
              </a:ext>
            </a:extLst>
          </xdr:cNvPr>
          <xdr:cNvSpPr/>
        </xdr:nvSpPr>
        <xdr:spPr>
          <a:xfrm>
            <a:off x="613409" y="4366193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0</xdr:colOff>
      <xdr:row>24</xdr:row>
      <xdr:rowOff>45720</xdr:rowOff>
    </xdr:from>
    <xdr:to>
      <xdr:col>4</xdr:col>
      <xdr:colOff>464820</xdr:colOff>
      <xdr:row>24</xdr:row>
      <xdr:rowOff>827194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585D2E69-1BEC-440D-88C5-2C5D14E84FC4}"/>
            </a:ext>
          </a:extLst>
        </xdr:cNvPr>
        <xdr:cNvSpPr txBox="1"/>
      </xdr:nvSpPr>
      <xdr:spPr>
        <a:xfrm>
          <a:off x="0" y="4602480"/>
          <a:ext cx="2903220" cy="781474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 kern="120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SOLU</a:t>
          </a:r>
          <a:r>
            <a:rPr lang="pt-BR" sz="3200" b="1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 CAPACITA</a:t>
          </a:r>
        </a:p>
      </xdr:txBody>
    </xdr:sp>
    <xdr:clientData/>
  </xdr:twoCellAnchor>
  <xdr:twoCellAnchor editAs="absolute">
    <xdr:from>
      <xdr:col>9</xdr:col>
      <xdr:colOff>685800</xdr:colOff>
      <xdr:row>1</xdr:row>
      <xdr:rowOff>37286</xdr:rowOff>
    </xdr:from>
    <xdr:to>
      <xdr:col>15</xdr:col>
      <xdr:colOff>243840</xdr:colOff>
      <xdr:row>5</xdr:row>
      <xdr:rowOff>133941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5B4EE627-CD9B-4C15-AA67-EE109FDE0528}"/>
            </a:ext>
          </a:extLst>
        </xdr:cNvPr>
        <xdr:cNvSpPr txBox="1"/>
      </xdr:nvSpPr>
      <xdr:spPr>
        <a:xfrm>
          <a:off x="6088380" y="220166"/>
          <a:ext cx="4259580" cy="828175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3600" b="1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FORMATAÇÃO</a:t>
          </a:r>
        </a:p>
        <a:p>
          <a:endParaRPr lang="pt-BR" sz="1100" kern="1200">
            <a:ln>
              <a:solidFill>
                <a:sysClr val="windowText" lastClr="000000"/>
              </a:solidFill>
            </a:ln>
            <a:solidFill>
              <a:srgbClr val="FAB328"/>
            </a:solidFill>
          </a:endParaRPr>
        </a:p>
      </xdr:txBody>
    </xdr:sp>
    <xdr:clientData/>
  </xdr:twoCellAnchor>
  <xdr:twoCellAnchor editAs="oneCell">
    <xdr:from>
      <xdr:col>9</xdr:col>
      <xdr:colOff>388620</xdr:colOff>
      <xdr:row>5</xdr:row>
      <xdr:rowOff>7620</xdr:rowOff>
    </xdr:from>
    <xdr:to>
      <xdr:col>15</xdr:col>
      <xdr:colOff>403860</xdr:colOff>
      <xdr:row>16</xdr:row>
      <xdr:rowOff>140637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314FDE8-66F4-7363-A13E-834A0A1BE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91200" y="922020"/>
          <a:ext cx="4716780" cy="21446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482600</xdr:colOff>
      <xdr:row>20</xdr:row>
      <xdr:rowOff>106680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E9FFE99-2D68-45EF-AA7B-0F041907FF98}"/>
            </a:ext>
          </a:extLst>
        </xdr:cNvPr>
        <xdr:cNvSpPr/>
      </xdr:nvSpPr>
      <xdr:spPr>
        <a:xfrm>
          <a:off x="0" y="0"/>
          <a:ext cx="2921000" cy="5669280"/>
        </a:xfrm>
        <a:prstGeom prst="rect">
          <a:avLst/>
        </a:prstGeom>
        <a:solidFill>
          <a:srgbClr val="0D4E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140547</xdr:colOff>
      <xdr:row>0</xdr:row>
      <xdr:rowOff>127846</xdr:rowOff>
    </xdr:from>
    <xdr:to>
      <xdr:col>4</xdr:col>
      <xdr:colOff>330147</xdr:colOff>
      <xdr:row>5</xdr:row>
      <xdr:rowOff>193506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7F893CE9-B5D9-4FEF-8B87-FC86076881DE}"/>
            </a:ext>
          </a:extLst>
        </xdr:cNvPr>
        <xdr:cNvGrpSpPr/>
      </xdr:nvGrpSpPr>
      <xdr:grpSpPr>
        <a:xfrm>
          <a:off x="140547" y="127846"/>
          <a:ext cx="2628000" cy="987680"/>
          <a:chOff x="9616440" y="281940"/>
          <a:chExt cx="2491740" cy="929640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59DCCAAF-88BD-7DF4-1FEB-4C9338909E2D}"/>
              </a:ext>
            </a:extLst>
          </xdr:cNvPr>
          <xdr:cNvSpPr/>
        </xdr:nvSpPr>
        <xdr:spPr>
          <a:xfrm>
            <a:off x="9616440" y="281940"/>
            <a:ext cx="2491740" cy="92964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3AD3C92F-4B8C-4D10-CD4E-E86401EA41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822180" y="441960"/>
            <a:ext cx="2124075" cy="60007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absolute">
    <xdr:from>
      <xdr:col>0</xdr:col>
      <xdr:colOff>203200</xdr:colOff>
      <xdr:row>6</xdr:row>
      <xdr:rowOff>231985</xdr:rowOff>
    </xdr:from>
    <xdr:to>
      <xdr:col>4</xdr:col>
      <xdr:colOff>584200</xdr:colOff>
      <xdr:row>7</xdr:row>
      <xdr:rowOff>345439</xdr:rowOff>
    </xdr:to>
    <xdr:grpSp>
      <xdr:nvGrpSpPr>
        <xdr:cNvPr id="8" name="Agrupar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2C7568-7E5B-4DAB-92A7-CBD23EF04224}"/>
            </a:ext>
          </a:extLst>
        </xdr:cNvPr>
        <xdr:cNvGrpSpPr/>
      </xdr:nvGrpSpPr>
      <xdr:grpSpPr>
        <a:xfrm>
          <a:off x="203200" y="1390225"/>
          <a:ext cx="2819400" cy="463974"/>
          <a:chOff x="203200" y="1390225"/>
          <a:chExt cx="2819400" cy="463974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86B58EC7-A034-1304-3319-90E8E745C4DF}"/>
              </a:ext>
            </a:extLst>
          </xdr:cNvPr>
          <xdr:cNvGrpSpPr/>
        </xdr:nvGrpSpPr>
        <xdr:grpSpPr>
          <a:xfrm>
            <a:off x="203200" y="1390225"/>
            <a:ext cx="2819400" cy="463974"/>
            <a:chOff x="203200" y="1413932"/>
            <a:chExt cx="2819400" cy="474134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1AE26DE9-3FE0-C3C7-DCD7-43A3A7268518}"/>
                </a:ext>
              </a:extLst>
            </xdr:cNvPr>
            <xdr:cNvSpPr/>
          </xdr:nvSpPr>
          <xdr:spPr>
            <a:xfrm>
              <a:off x="203200" y="1464733"/>
              <a:ext cx="2819400" cy="423333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82CC4924-8690-950B-0953-535E81279FC9}"/>
                </a:ext>
              </a:extLst>
            </xdr:cNvPr>
            <xdr:cNvSpPr txBox="1"/>
          </xdr:nvSpPr>
          <xdr:spPr>
            <a:xfrm>
              <a:off x="440264" y="1413932"/>
              <a:ext cx="2573867" cy="4064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800" b="1" kern="120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EXCEL</a:t>
              </a:r>
              <a:r>
                <a:rPr lang="pt-BR" sz="2800" b="1" kern="1200" baseline="0">
                  <a:ln>
                    <a:solidFill>
                      <a:sysClr val="windowText" lastClr="000000"/>
                    </a:solidFill>
                  </a:ln>
                  <a:solidFill>
                    <a:srgbClr val="FAB328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rPr>
                <a:t> </a:t>
              </a:r>
              <a:r>
                <a:rPr lang="pt-BR" sz="2800" b="1" kern="1200" baseline="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básico</a:t>
              </a:r>
              <a:endParaRPr lang="pt-BR" sz="2800" b="1" kern="1200">
                <a:ln>
                  <a:solidFill>
                    <a:srgbClr val="FAB328"/>
                  </a:solidFill>
                </a:ln>
                <a:solidFill>
                  <a:srgbClr val="FAB328"/>
                </a:solidFill>
                <a:effectLst/>
              </a:endParaRPr>
            </a:p>
          </xdr:txBody>
        </xdr:sp>
      </xdr:grpSp>
      <xdr:sp macro="" textlink="">
        <xdr:nvSpPr>
          <xdr:cNvPr id="10" name="Seta: para a Direita 9">
            <a:extLst>
              <a:ext uri="{FF2B5EF4-FFF2-40B4-BE49-F238E27FC236}">
                <a16:creationId xmlns:a16="http://schemas.microsoft.com/office/drawing/2014/main" id="{977E51C7-7186-4720-BBC2-DCECB8A4F7D5}"/>
              </a:ext>
            </a:extLst>
          </xdr:cNvPr>
          <xdr:cNvSpPr/>
        </xdr:nvSpPr>
        <xdr:spPr>
          <a:xfrm rot="5400000">
            <a:off x="311618" y="1568521"/>
            <a:ext cx="155921" cy="167325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8</xdr:row>
      <xdr:rowOff>103291</xdr:rowOff>
    </xdr:from>
    <xdr:to>
      <xdr:col>4</xdr:col>
      <xdr:colOff>578997</xdr:colOff>
      <xdr:row>9</xdr:row>
      <xdr:rowOff>191346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37B2EB-44BB-4AC3-A27A-A97A268637CF}"/>
            </a:ext>
          </a:extLst>
        </xdr:cNvPr>
        <xdr:cNvGrpSpPr/>
      </xdr:nvGrpSpPr>
      <xdr:grpSpPr>
        <a:xfrm>
          <a:off x="431800" y="1962571"/>
          <a:ext cx="2585597" cy="438575"/>
          <a:chOff x="431800" y="1962571"/>
          <a:chExt cx="2585597" cy="438575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B7630F8D-1255-2E1E-6B06-C5609B4E853C}"/>
              </a:ext>
            </a:extLst>
          </xdr:cNvPr>
          <xdr:cNvSpPr/>
        </xdr:nvSpPr>
        <xdr:spPr>
          <a:xfrm>
            <a:off x="431800" y="198797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45D84855-98BF-C957-CCBB-8EBE05AA9374}"/>
              </a:ext>
            </a:extLst>
          </xdr:cNvPr>
          <xdr:cNvSpPr txBox="1"/>
        </xdr:nvSpPr>
        <xdr:spPr>
          <a:xfrm>
            <a:off x="724709" y="1962571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Interface</a:t>
            </a:r>
          </a:p>
        </xdr:txBody>
      </xdr:sp>
      <xdr:sp macro="" textlink="">
        <xdr:nvSpPr>
          <xdr:cNvPr id="16" name="Seta: para a Direita 15">
            <a:extLst>
              <a:ext uri="{FF2B5EF4-FFF2-40B4-BE49-F238E27FC236}">
                <a16:creationId xmlns:a16="http://schemas.microsoft.com/office/drawing/2014/main" id="{DC631EB3-BAA2-A231-E333-94F57FBB7E96}"/>
              </a:ext>
            </a:extLst>
          </xdr:cNvPr>
          <xdr:cNvSpPr/>
        </xdr:nvSpPr>
        <xdr:spPr>
          <a:xfrm>
            <a:off x="613409" y="2146868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9</xdr:row>
      <xdr:rowOff>308185</xdr:rowOff>
    </xdr:from>
    <xdr:to>
      <xdr:col>4</xdr:col>
      <xdr:colOff>578997</xdr:colOff>
      <xdr:row>11</xdr:row>
      <xdr:rowOff>28786</xdr:rowOff>
    </xdr:to>
    <xdr:grpSp>
      <xdr:nvGrpSpPr>
        <xdr:cNvPr id="17" name="Agrupar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A53648-140F-4873-8DC2-42888BDDB3C6}"/>
            </a:ext>
          </a:extLst>
        </xdr:cNvPr>
        <xdr:cNvGrpSpPr/>
      </xdr:nvGrpSpPr>
      <xdr:grpSpPr>
        <a:xfrm>
          <a:off x="431800" y="2517985"/>
          <a:ext cx="2585597" cy="421641"/>
          <a:chOff x="431800" y="2517985"/>
          <a:chExt cx="2585597" cy="421641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110D3DF0-2B35-35A0-120C-9F98D72E0F88}"/>
              </a:ext>
            </a:extLst>
          </xdr:cNvPr>
          <xdr:cNvSpPr/>
        </xdr:nvSpPr>
        <xdr:spPr>
          <a:xfrm>
            <a:off x="431800" y="252645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5689A340-E95B-885F-0A26-1AABDD4958A9}"/>
              </a:ext>
            </a:extLst>
          </xdr:cNvPr>
          <xdr:cNvSpPr txBox="1"/>
        </xdr:nvSpPr>
        <xdr:spPr>
          <a:xfrm>
            <a:off x="724709" y="2517985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Formatação</a:t>
            </a:r>
          </a:p>
        </xdr:txBody>
      </xdr:sp>
      <xdr:sp macro="" textlink="">
        <xdr:nvSpPr>
          <xdr:cNvPr id="20" name="Seta: para a Direita 19">
            <a:extLst>
              <a:ext uri="{FF2B5EF4-FFF2-40B4-BE49-F238E27FC236}">
                <a16:creationId xmlns:a16="http://schemas.microsoft.com/office/drawing/2014/main" id="{32A2EAB4-56D9-87D8-445B-9E07FE288CA6}"/>
              </a:ext>
            </a:extLst>
          </xdr:cNvPr>
          <xdr:cNvSpPr/>
        </xdr:nvSpPr>
        <xdr:spPr>
          <a:xfrm>
            <a:off x="613409" y="2701699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11</xdr:row>
      <xdr:rowOff>145625</xdr:rowOff>
    </xdr:from>
    <xdr:to>
      <xdr:col>5</xdr:col>
      <xdr:colOff>45597</xdr:colOff>
      <xdr:row>12</xdr:row>
      <xdr:rowOff>233680</xdr:rowOff>
    </xdr:to>
    <xdr:grpSp>
      <xdr:nvGrpSpPr>
        <xdr:cNvPr id="21" name="Agrupar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491662-EF7B-4168-8DA8-2294C0F11B9A}"/>
            </a:ext>
          </a:extLst>
        </xdr:cNvPr>
        <xdr:cNvGrpSpPr/>
      </xdr:nvGrpSpPr>
      <xdr:grpSpPr>
        <a:xfrm>
          <a:off x="431800" y="3056465"/>
          <a:ext cx="2661797" cy="438575"/>
          <a:chOff x="431800" y="3056465"/>
          <a:chExt cx="2661797" cy="438575"/>
        </a:xfrm>
      </xdr:grpSpPr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282E3862-A88D-2398-3C9B-6B639D3A2293}"/>
              </a:ext>
            </a:extLst>
          </xdr:cNvPr>
          <xdr:cNvSpPr/>
        </xdr:nvSpPr>
        <xdr:spPr>
          <a:xfrm>
            <a:off x="431800" y="3081867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F5E7F00E-5C2D-62FC-C385-C1356C16565D}"/>
              </a:ext>
            </a:extLst>
          </xdr:cNvPr>
          <xdr:cNvSpPr txBox="1"/>
        </xdr:nvSpPr>
        <xdr:spPr>
          <a:xfrm>
            <a:off x="724709" y="3056465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Fórmulas </a:t>
            </a:r>
          </a:p>
        </xdr:txBody>
      </xdr:sp>
      <xdr:sp macro="" textlink="">
        <xdr:nvSpPr>
          <xdr:cNvPr id="24" name="Seta: para a Direita 23">
            <a:extLst>
              <a:ext uri="{FF2B5EF4-FFF2-40B4-BE49-F238E27FC236}">
                <a16:creationId xmlns:a16="http://schemas.microsoft.com/office/drawing/2014/main" id="{CA91B49E-E639-D75A-2D27-07E1C13A1D5D}"/>
              </a:ext>
            </a:extLst>
          </xdr:cNvPr>
          <xdr:cNvSpPr/>
        </xdr:nvSpPr>
        <xdr:spPr>
          <a:xfrm>
            <a:off x="613409" y="3256530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13</xdr:row>
      <xdr:rowOff>1652</xdr:rowOff>
    </xdr:from>
    <xdr:to>
      <xdr:col>5</xdr:col>
      <xdr:colOff>45597</xdr:colOff>
      <xdr:row>14</xdr:row>
      <xdr:rowOff>88054</xdr:rowOff>
    </xdr:to>
    <xdr:grpSp>
      <xdr:nvGrpSpPr>
        <xdr:cNvPr id="25" name="Agrupar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FB788EB-193A-46C6-A6B8-56746976250B}"/>
            </a:ext>
          </a:extLst>
        </xdr:cNvPr>
        <xdr:cNvGrpSpPr/>
      </xdr:nvGrpSpPr>
      <xdr:grpSpPr>
        <a:xfrm>
          <a:off x="431800" y="3613532"/>
          <a:ext cx="2661797" cy="436922"/>
          <a:chOff x="431800" y="3611879"/>
          <a:chExt cx="2661797" cy="438575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D39B1011-B677-29D8-9771-76AC5B94FD23}"/>
              </a:ext>
            </a:extLst>
          </xdr:cNvPr>
          <xdr:cNvSpPr/>
        </xdr:nvSpPr>
        <xdr:spPr>
          <a:xfrm>
            <a:off x="431800" y="3637281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865BA7C5-36F4-74F9-64AD-3D6BCBD0C4DA}"/>
              </a:ext>
            </a:extLst>
          </xdr:cNvPr>
          <xdr:cNvSpPr txBox="1"/>
        </xdr:nvSpPr>
        <xdr:spPr>
          <a:xfrm>
            <a:off x="724709" y="3611879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Filtros</a:t>
            </a:r>
          </a:p>
        </xdr:txBody>
      </xdr:sp>
      <xdr:sp macro="" textlink="">
        <xdr:nvSpPr>
          <xdr:cNvPr id="28" name="Seta: para a Direita 27">
            <a:extLst>
              <a:ext uri="{FF2B5EF4-FFF2-40B4-BE49-F238E27FC236}">
                <a16:creationId xmlns:a16="http://schemas.microsoft.com/office/drawing/2014/main" id="{F60C170E-40EE-8DE1-EA93-07876B530C2D}"/>
              </a:ext>
            </a:extLst>
          </xdr:cNvPr>
          <xdr:cNvSpPr/>
        </xdr:nvSpPr>
        <xdr:spPr>
          <a:xfrm>
            <a:off x="613409" y="3811361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14</xdr:row>
      <xdr:rowOff>204893</xdr:rowOff>
    </xdr:from>
    <xdr:to>
      <xdr:col>5</xdr:col>
      <xdr:colOff>45597</xdr:colOff>
      <xdr:row>15</xdr:row>
      <xdr:rowOff>292948</xdr:rowOff>
    </xdr:to>
    <xdr:grpSp>
      <xdr:nvGrpSpPr>
        <xdr:cNvPr id="29" name="Agrupar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DF48C2-D6B1-441D-95DD-A4A27E7A4F8D}"/>
            </a:ext>
          </a:extLst>
        </xdr:cNvPr>
        <xdr:cNvGrpSpPr/>
      </xdr:nvGrpSpPr>
      <xdr:grpSpPr>
        <a:xfrm>
          <a:off x="431800" y="4167293"/>
          <a:ext cx="2661797" cy="438575"/>
          <a:chOff x="431800" y="4167293"/>
          <a:chExt cx="2661797" cy="438575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3D82C2ED-BEA5-3151-E858-20DCFA63F4F4}"/>
              </a:ext>
            </a:extLst>
          </xdr:cNvPr>
          <xdr:cNvSpPr/>
        </xdr:nvSpPr>
        <xdr:spPr>
          <a:xfrm>
            <a:off x="431800" y="4192695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204CAB9-F3C2-183E-BD11-87C1DF2D45EC}"/>
              </a:ext>
            </a:extLst>
          </xdr:cNvPr>
          <xdr:cNvSpPr txBox="1"/>
        </xdr:nvSpPr>
        <xdr:spPr>
          <a:xfrm>
            <a:off x="724709" y="4167293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Gráficos básicos</a:t>
            </a:r>
          </a:p>
        </xdr:txBody>
      </xdr:sp>
      <xdr:sp macro="" textlink="">
        <xdr:nvSpPr>
          <xdr:cNvPr id="32" name="Seta: para a Direita 31">
            <a:extLst>
              <a:ext uri="{FF2B5EF4-FFF2-40B4-BE49-F238E27FC236}">
                <a16:creationId xmlns:a16="http://schemas.microsoft.com/office/drawing/2014/main" id="{D576EA7C-8AF1-0E96-7655-F182A9503606}"/>
              </a:ext>
            </a:extLst>
          </xdr:cNvPr>
          <xdr:cNvSpPr/>
        </xdr:nvSpPr>
        <xdr:spPr>
          <a:xfrm>
            <a:off x="613409" y="4366193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0</xdr:colOff>
      <xdr:row>15</xdr:row>
      <xdr:rowOff>289560</xdr:rowOff>
    </xdr:from>
    <xdr:to>
      <xdr:col>4</xdr:col>
      <xdr:colOff>464820</xdr:colOff>
      <xdr:row>19</xdr:row>
      <xdr:rowOff>4234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B87C805D-B04F-4D13-B535-593B37F6136F}"/>
            </a:ext>
          </a:extLst>
        </xdr:cNvPr>
        <xdr:cNvSpPr txBox="1"/>
      </xdr:nvSpPr>
      <xdr:spPr>
        <a:xfrm>
          <a:off x="0" y="4602480"/>
          <a:ext cx="2903220" cy="781474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 kern="120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SOLU</a:t>
          </a:r>
          <a:r>
            <a:rPr lang="pt-BR" sz="3200" b="1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 CAPACITA</a:t>
          </a:r>
        </a:p>
      </xdr:txBody>
    </xdr:sp>
    <xdr:clientData/>
  </xdr:twoCellAnchor>
  <xdr:twoCellAnchor editAs="absolute">
    <xdr:from>
      <xdr:col>9</xdr:col>
      <xdr:colOff>60960</xdr:colOff>
      <xdr:row>1</xdr:row>
      <xdr:rowOff>7620</xdr:rowOff>
    </xdr:from>
    <xdr:to>
      <xdr:col>14</xdr:col>
      <xdr:colOff>106680</xdr:colOff>
      <xdr:row>5</xdr:row>
      <xdr:rowOff>3587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2B535263-9E32-43A4-8654-5406715BCB34}"/>
            </a:ext>
          </a:extLst>
        </xdr:cNvPr>
        <xdr:cNvSpPr txBox="1"/>
      </xdr:nvSpPr>
      <xdr:spPr>
        <a:xfrm>
          <a:off x="6103620" y="190500"/>
          <a:ext cx="4259580" cy="735107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 kern="120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FÓRMULAS</a:t>
          </a:r>
          <a:endParaRPr lang="pt-BR" sz="3600" b="1" kern="1200" baseline="0">
            <a:ln>
              <a:solidFill>
                <a:srgbClr val="FAB328"/>
              </a:solidFill>
            </a:ln>
            <a:solidFill>
              <a:srgbClr val="FAB328"/>
            </a:solidFill>
          </a:endParaRPr>
        </a:p>
        <a:p>
          <a:endParaRPr lang="pt-BR" sz="1100" kern="1200">
            <a:ln>
              <a:solidFill>
                <a:srgbClr val="FAB328"/>
              </a:solidFill>
            </a:ln>
            <a:solidFill>
              <a:srgbClr val="FAB328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482600</xdr:colOff>
      <xdr:row>30</xdr:row>
      <xdr:rowOff>106680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A16D402-32C9-4174-984D-DAE4333F505F}"/>
            </a:ext>
          </a:extLst>
        </xdr:cNvPr>
        <xdr:cNvSpPr/>
      </xdr:nvSpPr>
      <xdr:spPr>
        <a:xfrm>
          <a:off x="0" y="0"/>
          <a:ext cx="2921000" cy="5669280"/>
        </a:xfrm>
        <a:prstGeom prst="rect">
          <a:avLst/>
        </a:prstGeom>
        <a:solidFill>
          <a:srgbClr val="0D4E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140547</xdr:colOff>
      <xdr:row>0</xdr:row>
      <xdr:rowOff>127846</xdr:rowOff>
    </xdr:from>
    <xdr:to>
      <xdr:col>4</xdr:col>
      <xdr:colOff>330147</xdr:colOff>
      <xdr:row>6</xdr:row>
      <xdr:rowOff>10626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EBDD68FA-87D2-4254-A247-24F1178FAB26}"/>
            </a:ext>
          </a:extLst>
        </xdr:cNvPr>
        <xdr:cNvGrpSpPr/>
      </xdr:nvGrpSpPr>
      <xdr:grpSpPr>
        <a:xfrm>
          <a:off x="140547" y="127846"/>
          <a:ext cx="2628000" cy="987680"/>
          <a:chOff x="9616440" y="281940"/>
          <a:chExt cx="2491740" cy="929640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6CA014FC-6C58-535A-07A6-12205FE35DAE}"/>
              </a:ext>
            </a:extLst>
          </xdr:cNvPr>
          <xdr:cNvSpPr/>
        </xdr:nvSpPr>
        <xdr:spPr>
          <a:xfrm>
            <a:off x="9616440" y="281940"/>
            <a:ext cx="2491740" cy="92964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271BC03E-A379-00A5-2F74-380626BC63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822180" y="441960"/>
            <a:ext cx="2124075" cy="60007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absolute">
    <xdr:from>
      <xdr:col>0</xdr:col>
      <xdr:colOff>203200</xdr:colOff>
      <xdr:row>7</xdr:row>
      <xdr:rowOff>49105</xdr:rowOff>
    </xdr:from>
    <xdr:to>
      <xdr:col>4</xdr:col>
      <xdr:colOff>584200</xdr:colOff>
      <xdr:row>9</xdr:row>
      <xdr:rowOff>139699</xdr:rowOff>
    </xdr:to>
    <xdr:grpSp>
      <xdr:nvGrpSpPr>
        <xdr:cNvPr id="8" name="Agrupar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9DC1BF-FAC0-487D-B091-49B788C5DEC0}"/>
            </a:ext>
          </a:extLst>
        </xdr:cNvPr>
        <xdr:cNvGrpSpPr/>
      </xdr:nvGrpSpPr>
      <xdr:grpSpPr>
        <a:xfrm>
          <a:off x="203200" y="1390225"/>
          <a:ext cx="2819400" cy="463974"/>
          <a:chOff x="203200" y="1390225"/>
          <a:chExt cx="2819400" cy="463974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8AD00E12-1690-9E84-027A-DB1E09B362D4}"/>
              </a:ext>
            </a:extLst>
          </xdr:cNvPr>
          <xdr:cNvGrpSpPr/>
        </xdr:nvGrpSpPr>
        <xdr:grpSpPr>
          <a:xfrm>
            <a:off x="203200" y="1390225"/>
            <a:ext cx="2819400" cy="463974"/>
            <a:chOff x="203200" y="1413932"/>
            <a:chExt cx="2819400" cy="474134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D4263A13-D864-1D5E-B083-E69566E70D67}"/>
                </a:ext>
              </a:extLst>
            </xdr:cNvPr>
            <xdr:cNvSpPr/>
          </xdr:nvSpPr>
          <xdr:spPr>
            <a:xfrm>
              <a:off x="203200" y="1464733"/>
              <a:ext cx="2819400" cy="423333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C52C1FA0-2E62-B4C6-9529-28D4BA3153C4}"/>
                </a:ext>
              </a:extLst>
            </xdr:cNvPr>
            <xdr:cNvSpPr txBox="1"/>
          </xdr:nvSpPr>
          <xdr:spPr>
            <a:xfrm>
              <a:off x="440264" y="1413932"/>
              <a:ext cx="2573867" cy="4064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800" b="1" kern="120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EXCEL</a:t>
              </a:r>
              <a:r>
                <a:rPr lang="pt-BR" sz="2800" b="1" kern="1200" baseline="0">
                  <a:ln>
                    <a:solidFill>
                      <a:sysClr val="windowText" lastClr="000000"/>
                    </a:solidFill>
                  </a:ln>
                  <a:solidFill>
                    <a:srgbClr val="FAB328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rPr>
                <a:t> </a:t>
              </a:r>
              <a:r>
                <a:rPr lang="pt-BR" sz="2800" b="1" kern="1200" baseline="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básico</a:t>
              </a:r>
              <a:endParaRPr lang="pt-BR" sz="2800" b="1" kern="1200">
                <a:ln>
                  <a:solidFill>
                    <a:srgbClr val="FAB328"/>
                  </a:solidFill>
                </a:ln>
                <a:solidFill>
                  <a:srgbClr val="FAB328"/>
                </a:solidFill>
                <a:effectLst/>
              </a:endParaRPr>
            </a:p>
          </xdr:txBody>
        </xdr:sp>
      </xdr:grpSp>
      <xdr:sp macro="" textlink="">
        <xdr:nvSpPr>
          <xdr:cNvPr id="10" name="Seta: para a Direita 9">
            <a:extLst>
              <a:ext uri="{FF2B5EF4-FFF2-40B4-BE49-F238E27FC236}">
                <a16:creationId xmlns:a16="http://schemas.microsoft.com/office/drawing/2014/main" id="{4F84C172-A9B0-B7A2-2A99-E98AB9FBD9AD}"/>
              </a:ext>
            </a:extLst>
          </xdr:cNvPr>
          <xdr:cNvSpPr/>
        </xdr:nvSpPr>
        <xdr:spPr>
          <a:xfrm rot="5400000">
            <a:off x="311618" y="1568521"/>
            <a:ext cx="155921" cy="167325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10</xdr:row>
      <xdr:rowOff>65191</xdr:rowOff>
    </xdr:from>
    <xdr:to>
      <xdr:col>4</xdr:col>
      <xdr:colOff>578997</xdr:colOff>
      <xdr:row>12</xdr:row>
      <xdr:rowOff>138006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4E173C-7F6F-4208-8DA3-80F198D11474}"/>
            </a:ext>
          </a:extLst>
        </xdr:cNvPr>
        <xdr:cNvGrpSpPr/>
      </xdr:nvGrpSpPr>
      <xdr:grpSpPr>
        <a:xfrm>
          <a:off x="431800" y="1962571"/>
          <a:ext cx="2585597" cy="438575"/>
          <a:chOff x="431800" y="1962571"/>
          <a:chExt cx="2585597" cy="438575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CBCDD0F9-DF0D-19FC-A3D4-7E9C82ED63A0}"/>
              </a:ext>
            </a:extLst>
          </xdr:cNvPr>
          <xdr:cNvSpPr/>
        </xdr:nvSpPr>
        <xdr:spPr>
          <a:xfrm>
            <a:off x="431800" y="198797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ABE607D7-7D20-0FD9-5FC0-D39FD1BAF8EE}"/>
              </a:ext>
            </a:extLst>
          </xdr:cNvPr>
          <xdr:cNvSpPr txBox="1"/>
        </xdr:nvSpPr>
        <xdr:spPr>
          <a:xfrm>
            <a:off x="724709" y="1962571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Interface</a:t>
            </a:r>
          </a:p>
        </xdr:txBody>
      </xdr:sp>
      <xdr:sp macro="" textlink="">
        <xdr:nvSpPr>
          <xdr:cNvPr id="16" name="Seta: para a Direita 15">
            <a:extLst>
              <a:ext uri="{FF2B5EF4-FFF2-40B4-BE49-F238E27FC236}">
                <a16:creationId xmlns:a16="http://schemas.microsoft.com/office/drawing/2014/main" id="{A5975318-02A9-E6BD-4A3A-5E87A5C8EC26}"/>
              </a:ext>
            </a:extLst>
          </xdr:cNvPr>
          <xdr:cNvSpPr/>
        </xdr:nvSpPr>
        <xdr:spPr>
          <a:xfrm>
            <a:off x="613409" y="2146868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13</xdr:row>
      <xdr:rowOff>71965</xdr:rowOff>
    </xdr:from>
    <xdr:to>
      <xdr:col>4</xdr:col>
      <xdr:colOff>578997</xdr:colOff>
      <xdr:row>15</xdr:row>
      <xdr:rowOff>127846</xdr:rowOff>
    </xdr:to>
    <xdr:grpSp>
      <xdr:nvGrpSpPr>
        <xdr:cNvPr id="17" name="Agrupar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ADDBCC7-208B-4213-B9F8-0B7D8F39169D}"/>
            </a:ext>
          </a:extLst>
        </xdr:cNvPr>
        <xdr:cNvGrpSpPr/>
      </xdr:nvGrpSpPr>
      <xdr:grpSpPr>
        <a:xfrm>
          <a:off x="431800" y="2517985"/>
          <a:ext cx="2585597" cy="421641"/>
          <a:chOff x="431800" y="2517985"/>
          <a:chExt cx="2585597" cy="421641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14B750D4-C1A4-4255-2DC3-3323E412FF6C}"/>
              </a:ext>
            </a:extLst>
          </xdr:cNvPr>
          <xdr:cNvSpPr/>
        </xdr:nvSpPr>
        <xdr:spPr>
          <a:xfrm>
            <a:off x="431800" y="252645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54AA54D4-01AB-F28E-E8AB-615C4EF2C63B}"/>
              </a:ext>
            </a:extLst>
          </xdr:cNvPr>
          <xdr:cNvSpPr txBox="1"/>
        </xdr:nvSpPr>
        <xdr:spPr>
          <a:xfrm>
            <a:off x="724709" y="2517985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Formatação</a:t>
            </a:r>
          </a:p>
        </xdr:txBody>
      </xdr:sp>
      <xdr:sp macro="" textlink="">
        <xdr:nvSpPr>
          <xdr:cNvPr id="20" name="Seta: para a Direita 19">
            <a:extLst>
              <a:ext uri="{FF2B5EF4-FFF2-40B4-BE49-F238E27FC236}">
                <a16:creationId xmlns:a16="http://schemas.microsoft.com/office/drawing/2014/main" id="{885697B5-5047-9063-4668-8CF9C85E4172}"/>
              </a:ext>
            </a:extLst>
          </xdr:cNvPr>
          <xdr:cNvSpPr/>
        </xdr:nvSpPr>
        <xdr:spPr>
          <a:xfrm>
            <a:off x="613409" y="2701699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16</xdr:row>
      <xdr:rowOff>61805</xdr:rowOff>
    </xdr:from>
    <xdr:to>
      <xdr:col>5</xdr:col>
      <xdr:colOff>45597</xdr:colOff>
      <xdr:row>18</xdr:row>
      <xdr:rowOff>134620</xdr:rowOff>
    </xdr:to>
    <xdr:grpSp>
      <xdr:nvGrpSpPr>
        <xdr:cNvPr id="21" name="Agrupar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61EF45-0367-4C80-8434-506BCDB95BD4}"/>
            </a:ext>
          </a:extLst>
        </xdr:cNvPr>
        <xdr:cNvGrpSpPr/>
      </xdr:nvGrpSpPr>
      <xdr:grpSpPr>
        <a:xfrm>
          <a:off x="431800" y="3056465"/>
          <a:ext cx="2661797" cy="438575"/>
          <a:chOff x="431800" y="3056465"/>
          <a:chExt cx="2661797" cy="438575"/>
        </a:xfrm>
      </xdr:grpSpPr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F3CE77B2-FE3B-665A-EA93-B18D839175AF}"/>
              </a:ext>
            </a:extLst>
          </xdr:cNvPr>
          <xdr:cNvSpPr/>
        </xdr:nvSpPr>
        <xdr:spPr>
          <a:xfrm>
            <a:off x="431800" y="3081867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74D000F5-50FE-A069-6486-70F6B332F751}"/>
              </a:ext>
            </a:extLst>
          </xdr:cNvPr>
          <xdr:cNvSpPr txBox="1"/>
        </xdr:nvSpPr>
        <xdr:spPr>
          <a:xfrm>
            <a:off x="724709" y="3056465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Fórmulas </a:t>
            </a:r>
          </a:p>
        </xdr:txBody>
      </xdr:sp>
      <xdr:sp macro="" textlink="">
        <xdr:nvSpPr>
          <xdr:cNvPr id="24" name="Seta: para a Direita 23">
            <a:extLst>
              <a:ext uri="{FF2B5EF4-FFF2-40B4-BE49-F238E27FC236}">
                <a16:creationId xmlns:a16="http://schemas.microsoft.com/office/drawing/2014/main" id="{96098DFA-9F8E-0776-49C4-ADED275E4A48}"/>
              </a:ext>
            </a:extLst>
          </xdr:cNvPr>
          <xdr:cNvSpPr/>
        </xdr:nvSpPr>
        <xdr:spPr>
          <a:xfrm>
            <a:off x="613409" y="3256530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19</xdr:row>
      <xdr:rowOff>68579</xdr:rowOff>
    </xdr:from>
    <xdr:to>
      <xdr:col>5</xdr:col>
      <xdr:colOff>45597</xdr:colOff>
      <xdr:row>21</xdr:row>
      <xdr:rowOff>141394</xdr:rowOff>
    </xdr:to>
    <xdr:grpSp>
      <xdr:nvGrpSpPr>
        <xdr:cNvPr id="25" name="Agrupar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7983D8-94CF-4419-B9B9-F2B2331D5967}"/>
            </a:ext>
          </a:extLst>
        </xdr:cNvPr>
        <xdr:cNvGrpSpPr/>
      </xdr:nvGrpSpPr>
      <xdr:grpSpPr>
        <a:xfrm>
          <a:off x="431800" y="3611879"/>
          <a:ext cx="2661797" cy="438575"/>
          <a:chOff x="431800" y="3611879"/>
          <a:chExt cx="2661797" cy="438575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AA05D5AD-37EC-0B26-E3F1-CA1928400F93}"/>
              </a:ext>
            </a:extLst>
          </xdr:cNvPr>
          <xdr:cNvSpPr/>
        </xdr:nvSpPr>
        <xdr:spPr>
          <a:xfrm>
            <a:off x="431800" y="3637281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3CFFA78B-920C-7CF9-F7C3-FBDF944761C4}"/>
              </a:ext>
            </a:extLst>
          </xdr:cNvPr>
          <xdr:cNvSpPr txBox="1"/>
        </xdr:nvSpPr>
        <xdr:spPr>
          <a:xfrm>
            <a:off x="724709" y="3611879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Filtros</a:t>
            </a:r>
          </a:p>
        </xdr:txBody>
      </xdr:sp>
      <xdr:sp macro="" textlink="">
        <xdr:nvSpPr>
          <xdr:cNvPr id="28" name="Seta: para a Direita 27">
            <a:extLst>
              <a:ext uri="{FF2B5EF4-FFF2-40B4-BE49-F238E27FC236}">
                <a16:creationId xmlns:a16="http://schemas.microsoft.com/office/drawing/2014/main" id="{352AB87E-87EB-ED0B-43BD-275601084CD0}"/>
              </a:ext>
            </a:extLst>
          </xdr:cNvPr>
          <xdr:cNvSpPr/>
        </xdr:nvSpPr>
        <xdr:spPr>
          <a:xfrm>
            <a:off x="613409" y="3811361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22</xdr:row>
      <xdr:rowOff>75353</xdr:rowOff>
    </xdr:from>
    <xdr:to>
      <xdr:col>5</xdr:col>
      <xdr:colOff>45597</xdr:colOff>
      <xdr:row>24</xdr:row>
      <xdr:rowOff>148168</xdr:rowOff>
    </xdr:to>
    <xdr:grpSp>
      <xdr:nvGrpSpPr>
        <xdr:cNvPr id="29" name="Agrupar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06C1EAF-D5EC-4667-B4E7-AD8FA2CA1E97}"/>
            </a:ext>
          </a:extLst>
        </xdr:cNvPr>
        <xdr:cNvGrpSpPr/>
      </xdr:nvGrpSpPr>
      <xdr:grpSpPr>
        <a:xfrm>
          <a:off x="431800" y="4167293"/>
          <a:ext cx="2661797" cy="438575"/>
          <a:chOff x="431800" y="4167293"/>
          <a:chExt cx="2661797" cy="438575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7EBE5DF6-BF68-E04A-A7F3-BA52AE14BF0A}"/>
              </a:ext>
            </a:extLst>
          </xdr:cNvPr>
          <xdr:cNvSpPr/>
        </xdr:nvSpPr>
        <xdr:spPr>
          <a:xfrm>
            <a:off x="431800" y="4192695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935C76D-A493-41F0-307B-1FED2E9217D0}"/>
              </a:ext>
            </a:extLst>
          </xdr:cNvPr>
          <xdr:cNvSpPr txBox="1"/>
        </xdr:nvSpPr>
        <xdr:spPr>
          <a:xfrm>
            <a:off x="724709" y="4167293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Gráficos básicos</a:t>
            </a:r>
          </a:p>
        </xdr:txBody>
      </xdr:sp>
      <xdr:sp macro="" textlink="">
        <xdr:nvSpPr>
          <xdr:cNvPr id="32" name="Seta: para a Direita 31">
            <a:extLst>
              <a:ext uri="{FF2B5EF4-FFF2-40B4-BE49-F238E27FC236}">
                <a16:creationId xmlns:a16="http://schemas.microsoft.com/office/drawing/2014/main" id="{C13D63A0-4317-7BF9-907D-7E364315636D}"/>
              </a:ext>
            </a:extLst>
          </xdr:cNvPr>
          <xdr:cNvSpPr/>
        </xdr:nvSpPr>
        <xdr:spPr>
          <a:xfrm>
            <a:off x="613409" y="4366193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0</xdr:colOff>
      <xdr:row>24</xdr:row>
      <xdr:rowOff>144780</xdr:rowOff>
    </xdr:from>
    <xdr:to>
      <xdr:col>4</xdr:col>
      <xdr:colOff>464820</xdr:colOff>
      <xdr:row>29</xdr:row>
      <xdr:rowOff>4234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C4BC207-683D-43A3-8E67-99E4A3664595}"/>
            </a:ext>
          </a:extLst>
        </xdr:cNvPr>
        <xdr:cNvSpPr txBox="1"/>
      </xdr:nvSpPr>
      <xdr:spPr>
        <a:xfrm>
          <a:off x="0" y="4602480"/>
          <a:ext cx="2903220" cy="781474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 kern="120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SOLU</a:t>
          </a:r>
          <a:r>
            <a:rPr lang="pt-BR" sz="3200" b="1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 CAPACITA</a:t>
          </a:r>
        </a:p>
      </xdr:txBody>
    </xdr:sp>
    <xdr:clientData/>
  </xdr:twoCellAnchor>
  <xdr:twoCellAnchor editAs="absolute">
    <xdr:from>
      <xdr:col>9</xdr:col>
      <xdr:colOff>205740</xdr:colOff>
      <xdr:row>1</xdr:row>
      <xdr:rowOff>7620</xdr:rowOff>
    </xdr:from>
    <xdr:to>
      <xdr:col>13</xdr:col>
      <xdr:colOff>640080</xdr:colOff>
      <xdr:row>5</xdr:row>
      <xdr:rowOff>11207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B1EB192B-3D0B-4F77-990C-AF8E73868B70}"/>
            </a:ext>
          </a:extLst>
        </xdr:cNvPr>
        <xdr:cNvSpPr txBox="1"/>
      </xdr:nvSpPr>
      <xdr:spPr>
        <a:xfrm>
          <a:off x="6103620" y="190500"/>
          <a:ext cx="4259580" cy="735107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 kern="1200" baseline="0">
              <a:ln>
                <a:solidFill>
                  <a:sysClr val="windowText" lastClr="000000"/>
                </a:solidFill>
              </a:ln>
              <a:solidFill>
                <a:srgbClr val="FAB328"/>
              </a:solidFill>
            </a:rPr>
            <a:t>FILTROS</a:t>
          </a:r>
        </a:p>
        <a:p>
          <a:endParaRPr lang="pt-BR" sz="1100" kern="1200">
            <a:ln>
              <a:solidFill>
                <a:sysClr val="windowText" lastClr="000000"/>
              </a:solidFill>
            </a:ln>
            <a:solidFill>
              <a:srgbClr val="FAB328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482600</xdr:colOff>
      <xdr:row>28</xdr:row>
      <xdr:rowOff>137160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64A88A8-37AE-4CAB-846A-D216D7465246}"/>
            </a:ext>
          </a:extLst>
        </xdr:cNvPr>
        <xdr:cNvSpPr/>
      </xdr:nvSpPr>
      <xdr:spPr>
        <a:xfrm>
          <a:off x="0" y="0"/>
          <a:ext cx="2921000" cy="5676900"/>
        </a:xfrm>
        <a:prstGeom prst="rect">
          <a:avLst/>
        </a:prstGeom>
        <a:solidFill>
          <a:srgbClr val="0D4E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140547</xdr:colOff>
      <xdr:row>0</xdr:row>
      <xdr:rowOff>127846</xdr:rowOff>
    </xdr:from>
    <xdr:to>
      <xdr:col>4</xdr:col>
      <xdr:colOff>330147</xdr:colOff>
      <xdr:row>6</xdr:row>
      <xdr:rowOff>10626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54BBC6FD-6CEC-4335-AAA2-07E7FCD32221}"/>
            </a:ext>
          </a:extLst>
        </xdr:cNvPr>
        <xdr:cNvGrpSpPr/>
      </xdr:nvGrpSpPr>
      <xdr:grpSpPr>
        <a:xfrm>
          <a:off x="140547" y="127846"/>
          <a:ext cx="2628000" cy="987680"/>
          <a:chOff x="9616440" y="281940"/>
          <a:chExt cx="2491740" cy="929640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5DEF35F2-79ED-C1E4-3BA0-CFB689A71590}"/>
              </a:ext>
            </a:extLst>
          </xdr:cNvPr>
          <xdr:cNvSpPr/>
        </xdr:nvSpPr>
        <xdr:spPr>
          <a:xfrm>
            <a:off x="9616440" y="281940"/>
            <a:ext cx="2491740" cy="92964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8B43286D-305F-778A-6A60-1582CF1BD2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822180" y="441960"/>
            <a:ext cx="2124075" cy="60007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absolute">
    <xdr:from>
      <xdr:col>0</xdr:col>
      <xdr:colOff>203200</xdr:colOff>
      <xdr:row>7</xdr:row>
      <xdr:rowOff>94825</xdr:rowOff>
    </xdr:from>
    <xdr:to>
      <xdr:col>4</xdr:col>
      <xdr:colOff>584200</xdr:colOff>
      <xdr:row>9</xdr:row>
      <xdr:rowOff>2539</xdr:rowOff>
    </xdr:to>
    <xdr:grpSp>
      <xdr:nvGrpSpPr>
        <xdr:cNvPr id="8" name="Agrupar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9B3A11-4624-47CF-B4D5-72BF3EE25673}"/>
            </a:ext>
          </a:extLst>
        </xdr:cNvPr>
        <xdr:cNvGrpSpPr/>
      </xdr:nvGrpSpPr>
      <xdr:grpSpPr>
        <a:xfrm>
          <a:off x="203200" y="1390225"/>
          <a:ext cx="2819400" cy="463974"/>
          <a:chOff x="203200" y="1390225"/>
          <a:chExt cx="2819400" cy="463974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EF49709E-7EBB-44D7-80D1-E91DF44BE329}"/>
              </a:ext>
            </a:extLst>
          </xdr:cNvPr>
          <xdr:cNvGrpSpPr/>
        </xdr:nvGrpSpPr>
        <xdr:grpSpPr>
          <a:xfrm>
            <a:off x="203200" y="1390225"/>
            <a:ext cx="2819400" cy="463974"/>
            <a:chOff x="203200" y="1413932"/>
            <a:chExt cx="2819400" cy="474134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099C583F-78E0-51D2-A170-448D3D8B5EC8}"/>
                </a:ext>
              </a:extLst>
            </xdr:cNvPr>
            <xdr:cNvSpPr/>
          </xdr:nvSpPr>
          <xdr:spPr>
            <a:xfrm>
              <a:off x="203200" y="1464733"/>
              <a:ext cx="2819400" cy="423333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745CE07F-D38F-D682-743D-228E8C9DBC40}"/>
                </a:ext>
              </a:extLst>
            </xdr:cNvPr>
            <xdr:cNvSpPr txBox="1"/>
          </xdr:nvSpPr>
          <xdr:spPr>
            <a:xfrm>
              <a:off x="440264" y="1413932"/>
              <a:ext cx="2573867" cy="4064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800" b="1" kern="120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EXCEL</a:t>
              </a:r>
              <a:r>
                <a:rPr lang="pt-BR" sz="2800" b="1" kern="1200" baseline="0">
                  <a:ln>
                    <a:solidFill>
                      <a:sysClr val="windowText" lastClr="000000"/>
                    </a:solidFill>
                  </a:ln>
                  <a:solidFill>
                    <a:srgbClr val="FAB328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rPr>
                <a:t> </a:t>
              </a:r>
              <a:r>
                <a:rPr lang="pt-BR" sz="2800" b="1" kern="1200" baseline="0">
                  <a:ln>
                    <a:solidFill>
                      <a:srgbClr val="FAB328"/>
                    </a:solidFill>
                  </a:ln>
                  <a:solidFill>
                    <a:srgbClr val="FAB328"/>
                  </a:solidFill>
                  <a:effectLst/>
                </a:rPr>
                <a:t>básico</a:t>
              </a:r>
              <a:endParaRPr lang="pt-BR" sz="2800" b="1" kern="1200">
                <a:ln>
                  <a:solidFill>
                    <a:srgbClr val="FAB328"/>
                  </a:solidFill>
                </a:ln>
                <a:solidFill>
                  <a:srgbClr val="FAB328"/>
                </a:solidFill>
                <a:effectLst/>
              </a:endParaRPr>
            </a:p>
          </xdr:txBody>
        </xdr:sp>
      </xdr:grpSp>
      <xdr:sp macro="" textlink="">
        <xdr:nvSpPr>
          <xdr:cNvPr id="10" name="Seta: para a Direita 9">
            <a:extLst>
              <a:ext uri="{FF2B5EF4-FFF2-40B4-BE49-F238E27FC236}">
                <a16:creationId xmlns:a16="http://schemas.microsoft.com/office/drawing/2014/main" id="{C0020BAA-8CD2-042C-A347-DB2B5541743C}"/>
              </a:ext>
            </a:extLst>
          </xdr:cNvPr>
          <xdr:cNvSpPr/>
        </xdr:nvSpPr>
        <xdr:spPr>
          <a:xfrm rot="5400000">
            <a:off x="311618" y="1568521"/>
            <a:ext cx="155921" cy="167325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9</xdr:row>
      <xdr:rowOff>110911</xdr:rowOff>
    </xdr:from>
    <xdr:to>
      <xdr:col>4</xdr:col>
      <xdr:colOff>578997</xdr:colOff>
      <xdr:row>12</xdr:row>
      <xdr:rowOff>846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F20844-CBCE-40E4-976F-51104C7E3177}"/>
            </a:ext>
          </a:extLst>
        </xdr:cNvPr>
        <xdr:cNvGrpSpPr/>
      </xdr:nvGrpSpPr>
      <xdr:grpSpPr>
        <a:xfrm>
          <a:off x="431800" y="1962571"/>
          <a:ext cx="2585597" cy="438575"/>
          <a:chOff x="431800" y="1962571"/>
          <a:chExt cx="2585597" cy="438575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7DC0308D-DC6E-914F-6C07-BF0B5DB0B947}"/>
              </a:ext>
            </a:extLst>
          </xdr:cNvPr>
          <xdr:cNvSpPr/>
        </xdr:nvSpPr>
        <xdr:spPr>
          <a:xfrm>
            <a:off x="431800" y="198797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18F6BDBD-497B-0201-8216-B7BFE364A41D}"/>
              </a:ext>
            </a:extLst>
          </xdr:cNvPr>
          <xdr:cNvSpPr txBox="1"/>
        </xdr:nvSpPr>
        <xdr:spPr>
          <a:xfrm>
            <a:off x="724709" y="1962571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Interface</a:t>
            </a:r>
          </a:p>
        </xdr:txBody>
      </xdr:sp>
      <xdr:sp macro="" textlink="">
        <xdr:nvSpPr>
          <xdr:cNvPr id="16" name="Seta: para a Direita 15">
            <a:extLst>
              <a:ext uri="{FF2B5EF4-FFF2-40B4-BE49-F238E27FC236}">
                <a16:creationId xmlns:a16="http://schemas.microsoft.com/office/drawing/2014/main" id="{0C4E10BB-D1CD-FE86-6880-C80FAF9E5665}"/>
              </a:ext>
            </a:extLst>
          </xdr:cNvPr>
          <xdr:cNvSpPr/>
        </xdr:nvSpPr>
        <xdr:spPr>
          <a:xfrm>
            <a:off x="613409" y="2146868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12</xdr:row>
      <xdr:rowOff>117685</xdr:rowOff>
    </xdr:from>
    <xdr:to>
      <xdr:col>4</xdr:col>
      <xdr:colOff>578997</xdr:colOff>
      <xdr:row>14</xdr:row>
      <xdr:rowOff>173566</xdr:rowOff>
    </xdr:to>
    <xdr:grpSp>
      <xdr:nvGrpSpPr>
        <xdr:cNvPr id="17" name="Agrupar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A3B0C2-D7F4-4367-BF86-187E52248463}"/>
            </a:ext>
          </a:extLst>
        </xdr:cNvPr>
        <xdr:cNvGrpSpPr/>
      </xdr:nvGrpSpPr>
      <xdr:grpSpPr>
        <a:xfrm>
          <a:off x="431800" y="2517985"/>
          <a:ext cx="2585597" cy="421641"/>
          <a:chOff x="431800" y="2517985"/>
          <a:chExt cx="2585597" cy="421641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9AC489AC-C862-378D-9E66-205D93648867}"/>
              </a:ext>
            </a:extLst>
          </xdr:cNvPr>
          <xdr:cNvSpPr/>
        </xdr:nvSpPr>
        <xdr:spPr>
          <a:xfrm>
            <a:off x="431800" y="2526453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447DC1A5-47DC-1D7E-B6BC-C4FB6091617E}"/>
              </a:ext>
            </a:extLst>
          </xdr:cNvPr>
          <xdr:cNvSpPr txBox="1"/>
        </xdr:nvSpPr>
        <xdr:spPr>
          <a:xfrm>
            <a:off x="724709" y="2517985"/>
            <a:ext cx="22926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Formatação</a:t>
            </a:r>
          </a:p>
        </xdr:txBody>
      </xdr:sp>
      <xdr:sp macro="" textlink="">
        <xdr:nvSpPr>
          <xdr:cNvPr id="20" name="Seta: para a Direita 19">
            <a:extLst>
              <a:ext uri="{FF2B5EF4-FFF2-40B4-BE49-F238E27FC236}">
                <a16:creationId xmlns:a16="http://schemas.microsoft.com/office/drawing/2014/main" id="{207ADBDF-40CB-C2E1-4C7E-09BFBA53B5DA}"/>
              </a:ext>
            </a:extLst>
          </xdr:cNvPr>
          <xdr:cNvSpPr/>
        </xdr:nvSpPr>
        <xdr:spPr>
          <a:xfrm>
            <a:off x="613409" y="2701699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15</xdr:row>
      <xdr:rowOff>107525</xdr:rowOff>
    </xdr:from>
    <xdr:to>
      <xdr:col>5</xdr:col>
      <xdr:colOff>45597</xdr:colOff>
      <xdr:row>17</xdr:row>
      <xdr:rowOff>180340</xdr:rowOff>
    </xdr:to>
    <xdr:grpSp>
      <xdr:nvGrpSpPr>
        <xdr:cNvPr id="21" name="Agrupar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437DBD-B69C-4A94-A8E4-853CD16576F5}"/>
            </a:ext>
          </a:extLst>
        </xdr:cNvPr>
        <xdr:cNvGrpSpPr/>
      </xdr:nvGrpSpPr>
      <xdr:grpSpPr>
        <a:xfrm>
          <a:off x="431800" y="3056465"/>
          <a:ext cx="2661797" cy="438575"/>
          <a:chOff x="431800" y="3056465"/>
          <a:chExt cx="2661797" cy="438575"/>
        </a:xfrm>
      </xdr:grpSpPr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9C10F3DC-3277-B8B3-1576-0450855018D0}"/>
              </a:ext>
            </a:extLst>
          </xdr:cNvPr>
          <xdr:cNvSpPr/>
        </xdr:nvSpPr>
        <xdr:spPr>
          <a:xfrm>
            <a:off x="431800" y="3081867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2D991D0C-E4C8-2EF4-A622-619C2820B0A8}"/>
              </a:ext>
            </a:extLst>
          </xdr:cNvPr>
          <xdr:cNvSpPr txBox="1"/>
        </xdr:nvSpPr>
        <xdr:spPr>
          <a:xfrm>
            <a:off x="724709" y="3056465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Fórmulas </a:t>
            </a:r>
          </a:p>
        </xdr:txBody>
      </xdr:sp>
      <xdr:sp macro="" textlink="">
        <xdr:nvSpPr>
          <xdr:cNvPr id="24" name="Seta: para a Direita 23">
            <a:extLst>
              <a:ext uri="{FF2B5EF4-FFF2-40B4-BE49-F238E27FC236}">
                <a16:creationId xmlns:a16="http://schemas.microsoft.com/office/drawing/2014/main" id="{90B2A2E4-F9C3-7C21-3C62-DE3E91FE92E7}"/>
              </a:ext>
            </a:extLst>
          </xdr:cNvPr>
          <xdr:cNvSpPr/>
        </xdr:nvSpPr>
        <xdr:spPr>
          <a:xfrm>
            <a:off x="613409" y="3256530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18</xdr:row>
      <xdr:rowOff>114299</xdr:rowOff>
    </xdr:from>
    <xdr:to>
      <xdr:col>5</xdr:col>
      <xdr:colOff>45597</xdr:colOff>
      <xdr:row>20</xdr:row>
      <xdr:rowOff>179494</xdr:rowOff>
    </xdr:to>
    <xdr:grpSp>
      <xdr:nvGrpSpPr>
        <xdr:cNvPr id="25" name="Agrupar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4DEB022-C95A-4127-A475-890E70C38E8F}"/>
            </a:ext>
          </a:extLst>
        </xdr:cNvPr>
        <xdr:cNvGrpSpPr/>
      </xdr:nvGrpSpPr>
      <xdr:grpSpPr>
        <a:xfrm>
          <a:off x="431800" y="3611879"/>
          <a:ext cx="2661797" cy="438575"/>
          <a:chOff x="431800" y="3611879"/>
          <a:chExt cx="2661797" cy="438575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3214F216-3D7C-A7E3-DD96-2FE408DE9657}"/>
              </a:ext>
            </a:extLst>
          </xdr:cNvPr>
          <xdr:cNvSpPr/>
        </xdr:nvSpPr>
        <xdr:spPr>
          <a:xfrm>
            <a:off x="431800" y="3637281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51A5CFE3-D997-2EFF-44E5-9F9B1D24330B}"/>
              </a:ext>
            </a:extLst>
          </xdr:cNvPr>
          <xdr:cNvSpPr txBox="1"/>
        </xdr:nvSpPr>
        <xdr:spPr>
          <a:xfrm>
            <a:off x="724709" y="3611879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Filtros</a:t>
            </a:r>
          </a:p>
        </xdr:txBody>
      </xdr:sp>
      <xdr:sp macro="" textlink="">
        <xdr:nvSpPr>
          <xdr:cNvPr id="28" name="Seta: para a Direita 27">
            <a:extLst>
              <a:ext uri="{FF2B5EF4-FFF2-40B4-BE49-F238E27FC236}">
                <a16:creationId xmlns:a16="http://schemas.microsoft.com/office/drawing/2014/main" id="{61181E0D-4669-D15D-2C40-F95F14AF427E}"/>
              </a:ext>
            </a:extLst>
          </xdr:cNvPr>
          <xdr:cNvSpPr/>
        </xdr:nvSpPr>
        <xdr:spPr>
          <a:xfrm>
            <a:off x="613409" y="3811361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431800</xdr:colOff>
      <xdr:row>21</xdr:row>
      <xdr:rowOff>113453</xdr:rowOff>
    </xdr:from>
    <xdr:to>
      <xdr:col>5</xdr:col>
      <xdr:colOff>45597</xdr:colOff>
      <xdr:row>23</xdr:row>
      <xdr:rowOff>178648</xdr:rowOff>
    </xdr:to>
    <xdr:grpSp>
      <xdr:nvGrpSpPr>
        <xdr:cNvPr id="29" name="Agrupar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40EDBB-DFCE-4E21-BD82-40670869D1C3}"/>
            </a:ext>
          </a:extLst>
        </xdr:cNvPr>
        <xdr:cNvGrpSpPr/>
      </xdr:nvGrpSpPr>
      <xdr:grpSpPr>
        <a:xfrm>
          <a:off x="431800" y="4167293"/>
          <a:ext cx="2661797" cy="438575"/>
          <a:chOff x="431800" y="4167293"/>
          <a:chExt cx="2661797" cy="438575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67F4A6F8-B38D-86B9-5935-D31876A64445}"/>
              </a:ext>
            </a:extLst>
          </xdr:cNvPr>
          <xdr:cNvSpPr/>
        </xdr:nvSpPr>
        <xdr:spPr>
          <a:xfrm>
            <a:off x="431800" y="4192695"/>
            <a:ext cx="2511398" cy="41317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F58F051B-7D26-7D48-FF75-243278C46308}"/>
              </a:ext>
            </a:extLst>
          </xdr:cNvPr>
          <xdr:cNvSpPr txBox="1"/>
        </xdr:nvSpPr>
        <xdr:spPr>
          <a:xfrm>
            <a:off x="724709" y="4167293"/>
            <a:ext cx="2368888" cy="399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 b="1" kern="1200">
                <a:ln>
                  <a:noFill/>
                </a:ln>
                <a:solidFill>
                  <a:srgbClr val="FAB328"/>
                </a:solidFill>
                <a:effectLst/>
              </a:rPr>
              <a:t>Gráficos básicos</a:t>
            </a:r>
          </a:p>
        </xdr:txBody>
      </xdr:sp>
      <xdr:sp macro="" textlink="">
        <xdr:nvSpPr>
          <xdr:cNvPr id="32" name="Seta: para a Direita 31">
            <a:extLst>
              <a:ext uri="{FF2B5EF4-FFF2-40B4-BE49-F238E27FC236}">
                <a16:creationId xmlns:a16="http://schemas.microsoft.com/office/drawing/2014/main" id="{97BE905E-C7CF-F249-DF53-DC7E6F78ADA0}"/>
              </a:ext>
            </a:extLst>
          </xdr:cNvPr>
          <xdr:cNvSpPr/>
        </xdr:nvSpPr>
        <xdr:spPr>
          <a:xfrm>
            <a:off x="613409" y="4366193"/>
            <a:ext cx="103337" cy="101032"/>
          </a:xfrm>
          <a:prstGeom prst="rightArrow">
            <a:avLst>
              <a:gd name="adj1" fmla="val 50000"/>
              <a:gd name="adj2" fmla="val 100000"/>
            </a:avLst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0</xdr:colOff>
      <xdr:row>23</xdr:row>
      <xdr:rowOff>175260</xdr:rowOff>
    </xdr:from>
    <xdr:to>
      <xdr:col>4</xdr:col>
      <xdr:colOff>464820</xdr:colOff>
      <xdr:row>27</xdr:row>
      <xdr:rowOff>27094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6A592D54-8133-4AFF-9161-7A1319C81966}"/>
            </a:ext>
          </a:extLst>
        </xdr:cNvPr>
        <xdr:cNvSpPr txBox="1"/>
      </xdr:nvSpPr>
      <xdr:spPr>
        <a:xfrm>
          <a:off x="0" y="4602480"/>
          <a:ext cx="2903220" cy="781474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 kern="120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SOLU</a:t>
          </a:r>
          <a:r>
            <a:rPr lang="pt-BR" sz="3200" b="1" kern="1200" baseline="0">
              <a:ln>
                <a:solidFill>
                  <a:srgbClr val="FAB328"/>
                </a:solidFill>
              </a:ln>
              <a:solidFill>
                <a:srgbClr val="FAB328"/>
              </a:solidFill>
            </a:rPr>
            <a:t> CAPACITA</a:t>
          </a:r>
        </a:p>
      </xdr:txBody>
    </xdr:sp>
    <xdr:clientData/>
  </xdr:twoCellAnchor>
  <xdr:twoCellAnchor editAs="absolute">
    <xdr:from>
      <xdr:col>9</xdr:col>
      <xdr:colOff>60960</xdr:colOff>
      <xdr:row>1</xdr:row>
      <xdr:rowOff>7620</xdr:rowOff>
    </xdr:from>
    <xdr:to>
      <xdr:col>16</xdr:col>
      <xdr:colOff>22860</xdr:colOff>
      <xdr:row>5</xdr:row>
      <xdr:rowOff>11207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76C5ECD2-8F45-43C2-9B34-A645E39A093B}"/>
            </a:ext>
          </a:extLst>
        </xdr:cNvPr>
        <xdr:cNvSpPr txBox="1"/>
      </xdr:nvSpPr>
      <xdr:spPr>
        <a:xfrm>
          <a:off x="6103620" y="190500"/>
          <a:ext cx="4259580" cy="735107"/>
        </a:xfrm>
        <a:prstGeom prst="rect">
          <a:avLst/>
        </a:prstGeom>
        <a:noFill/>
        <a:ln w="19050"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 kern="1200" baseline="0">
              <a:ln>
                <a:solidFill>
                  <a:sysClr val="windowText" lastClr="000000"/>
                </a:solidFill>
              </a:ln>
              <a:solidFill>
                <a:srgbClr val="FAB328"/>
              </a:solidFill>
            </a:rPr>
            <a:t>GRÁFICOS BÁSICOS</a:t>
          </a:r>
        </a:p>
        <a:p>
          <a:endParaRPr lang="pt-BR" sz="1100" kern="1200">
            <a:ln>
              <a:solidFill>
                <a:sysClr val="windowText" lastClr="000000"/>
              </a:solidFill>
            </a:ln>
            <a:solidFill>
              <a:srgbClr val="FAB328"/>
            </a:solidFill>
          </a:endParaRPr>
        </a:p>
      </xdr:txBody>
    </xdr:sp>
    <xdr:clientData/>
  </xdr:twoCellAnchor>
  <xdr:twoCellAnchor>
    <xdr:from>
      <xdr:col>12</xdr:col>
      <xdr:colOff>266700</xdr:colOff>
      <xdr:row>5</xdr:row>
      <xdr:rowOff>140970</xdr:rowOff>
    </xdr:from>
    <xdr:to>
      <xdr:col>22</xdr:col>
      <xdr:colOff>533400</xdr:colOff>
      <xdr:row>19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2388AEB-1298-BE4F-287D-0C7B2E49E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304800</xdr:colOff>
      <xdr:row>21</xdr:row>
      <xdr:rowOff>26670</xdr:rowOff>
    </xdr:from>
    <xdr:to>
      <xdr:col>21</xdr:col>
      <xdr:colOff>457200</xdr:colOff>
      <xdr:row>35</xdr:row>
      <xdr:rowOff>7620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4E0AB5F7-9C86-4EC4-769C-7654DB208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411480</xdr:colOff>
      <xdr:row>37</xdr:row>
      <xdr:rowOff>57150</xdr:rowOff>
    </xdr:from>
    <xdr:to>
      <xdr:col>20</xdr:col>
      <xdr:colOff>487680</xdr:colOff>
      <xdr:row>51</xdr:row>
      <xdr:rowOff>53340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93E5262F-1267-043F-94F1-68E9B8BF1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624840</xdr:colOff>
      <xdr:row>52</xdr:row>
      <xdr:rowOff>57150</xdr:rowOff>
    </xdr:from>
    <xdr:to>
      <xdr:col>20</xdr:col>
      <xdr:colOff>457200</xdr:colOff>
      <xdr:row>65</xdr:row>
      <xdr:rowOff>137160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B855F08C-A37F-D513-83B1-C341E1D6B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3A15-D17B-45C8-8CA5-C2E818F62C0C}">
  <dimension ref="A1:A31"/>
  <sheetViews>
    <sheetView showGridLines="0" showRowColHeaders="0" workbookViewId="0"/>
  </sheetViews>
  <sheetFormatPr defaultRowHeight="14.4" zeroHeight="1" x14ac:dyDescent="0.3"/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5F8D-B981-4D8F-A8BC-ABE4B71E7DC1}">
  <dimension ref="G10:N47"/>
  <sheetViews>
    <sheetView workbookViewId="0"/>
  </sheetViews>
  <sheetFormatPr defaultRowHeight="14.4" x14ac:dyDescent="0.3"/>
  <cols>
    <col min="8" max="9" width="8.88671875" customWidth="1"/>
  </cols>
  <sheetData>
    <row r="10" spans="10:13" x14ac:dyDescent="0.3">
      <c r="J10" t="s">
        <v>0</v>
      </c>
      <c r="K10" t="s">
        <v>5</v>
      </c>
      <c r="L10" t="s">
        <v>109</v>
      </c>
      <c r="M10" t="s">
        <v>100</v>
      </c>
    </row>
    <row r="11" spans="10:13" x14ac:dyDescent="0.3">
      <c r="J11" t="s">
        <v>107</v>
      </c>
      <c r="K11" t="s">
        <v>108</v>
      </c>
      <c r="L11" t="s">
        <v>108</v>
      </c>
      <c r="M11" t="s">
        <v>108</v>
      </c>
    </row>
    <row r="12" spans="10:13" x14ac:dyDescent="0.3">
      <c r="J12" t="s">
        <v>103</v>
      </c>
      <c r="K12" t="s">
        <v>104</v>
      </c>
      <c r="L12" t="s">
        <v>110</v>
      </c>
      <c r="M12" t="s">
        <v>104</v>
      </c>
    </row>
    <row r="13" spans="10:13" x14ac:dyDescent="0.3">
      <c r="J13" t="s">
        <v>98</v>
      </c>
      <c r="K13" t="s">
        <v>105</v>
      </c>
      <c r="L13" t="s">
        <v>111</v>
      </c>
      <c r="M13" t="s">
        <v>101</v>
      </c>
    </row>
    <row r="14" spans="10:13" x14ac:dyDescent="0.3">
      <c r="J14" t="s">
        <v>99</v>
      </c>
      <c r="K14" t="s">
        <v>106</v>
      </c>
      <c r="L14" t="s">
        <v>112</v>
      </c>
      <c r="M14" t="s">
        <v>102</v>
      </c>
    </row>
    <row r="17" spans="10:14" x14ac:dyDescent="0.3">
      <c r="J17" t="s">
        <v>0</v>
      </c>
      <c r="K17" t="s">
        <v>107</v>
      </c>
      <c r="L17" t="s">
        <v>103</v>
      </c>
      <c r="M17" t="s">
        <v>98</v>
      </c>
      <c r="N17" t="s">
        <v>99</v>
      </c>
    </row>
    <row r="18" spans="10:14" x14ac:dyDescent="0.3">
      <c r="J18" t="s">
        <v>5</v>
      </c>
      <c r="K18" t="s">
        <v>108</v>
      </c>
      <c r="L18" t="s">
        <v>104</v>
      </c>
      <c r="M18" t="s">
        <v>105</v>
      </c>
      <c r="N18" t="s">
        <v>106</v>
      </c>
    </row>
    <row r="19" spans="10:14" x14ac:dyDescent="0.3">
      <c r="J19" t="s">
        <v>109</v>
      </c>
      <c r="K19" t="s">
        <v>108</v>
      </c>
      <c r="L19" t="s">
        <v>110</v>
      </c>
      <c r="M19" t="s">
        <v>111</v>
      </c>
      <c r="N19" t="s">
        <v>112</v>
      </c>
    </row>
    <row r="20" spans="10:14" x14ac:dyDescent="0.3">
      <c r="J20" t="s">
        <v>100</v>
      </c>
      <c r="K20" t="s">
        <v>108</v>
      </c>
      <c r="L20" t="s">
        <v>104</v>
      </c>
      <c r="M20" t="s">
        <v>101</v>
      </c>
      <c r="N20" t="s">
        <v>102</v>
      </c>
    </row>
    <row r="47" spans="7:7" x14ac:dyDescent="0.3">
      <c r="G47" s="75"/>
    </row>
  </sheetData>
  <sheetProtection formatCells="0" formatColumns="0" formatRows="0" insertColumns="0" insertRows="0" deleteColumns="0" deleteRows="0" sort="0" autoFilter="0" pivotTables="0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3A82-DB47-4D08-BD16-98BAB5C8BD0F}">
  <dimension ref="I19:O30"/>
  <sheetViews>
    <sheetView zoomScale="85" zoomScaleNormal="85" workbookViewId="0">
      <selection activeCell="Z30" sqref="Z30"/>
    </sheetView>
  </sheetViews>
  <sheetFormatPr defaultRowHeight="14.4" x14ac:dyDescent="0.3"/>
  <cols>
    <col min="9" max="9" width="7.6640625" bestFit="1" customWidth="1"/>
    <col min="10" max="10" width="10.109375" bestFit="1" customWidth="1"/>
    <col min="11" max="11" width="20.44140625" bestFit="1" customWidth="1"/>
    <col min="12" max="12" width="11.77734375" bestFit="1" customWidth="1"/>
    <col min="13" max="13" width="7.5546875" bestFit="1" customWidth="1"/>
    <col min="14" max="14" width="9.109375" bestFit="1" customWidth="1"/>
    <col min="15" max="15" width="9.5546875" customWidth="1"/>
  </cols>
  <sheetData>
    <row r="19" spans="9:15" ht="15" thickBot="1" x14ac:dyDescent="0.35"/>
    <row r="20" spans="9:15" ht="26.4" thickBot="1" x14ac:dyDescent="0.55000000000000004">
      <c r="I20" s="89" t="s">
        <v>121</v>
      </c>
      <c r="J20" s="90"/>
      <c r="K20" s="90"/>
      <c r="L20" s="90"/>
      <c r="M20" s="90"/>
      <c r="N20" s="91"/>
    </row>
    <row r="21" spans="9:15" ht="15" thickBot="1" x14ac:dyDescent="0.35"/>
    <row r="22" spans="9:15" x14ac:dyDescent="0.3">
      <c r="I22" s="78" t="s">
        <v>44</v>
      </c>
      <c r="J22" s="79" t="s">
        <v>113</v>
      </c>
      <c r="K22" s="80" t="s">
        <v>114</v>
      </c>
      <c r="L22" s="79" t="s">
        <v>115</v>
      </c>
      <c r="M22" s="79" t="s">
        <v>116</v>
      </c>
      <c r="N22" s="81" t="s">
        <v>117</v>
      </c>
    </row>
    <row r="23" spans="9:15" x14ac:dyDescent="0.3">
      <c r="I23" s="82" t="s">
        <v>100</v>
      </c>
      <c r="J23" s="76">
        <v>142.35</v>
      </c>
      <c r="K23" s="77" t="s">
        <v>118</v>
      </c>
      <c r="L23" s="22">
        <v>4</v>
      </c>
      <c r="M23" s="22">
        <v>5</v>
      </c>
      <c r="N23" s="26">
        <v>4</v>
      </c>
    </row>
    <row r="24" spans="9:15" x14ac:dyDescent="0.3">
      <c r="I24" s="82" t="s">
        <v>5</v>
      </c>
      <c r="J24" s="76">
        <v>95.99</v>
      </c>
      <c r="K24" s="77" t="s">
        <v>119</v>
      </c>
      <c r="L24" s="22">
        <v>2</v>
      </c>
      <c r="M24" s="22">
        <v>4</v>
      </c>
      <c r="N24" s="26">
        <v>5</v>
      </c>
    </row>
    <row r="25" spans="9:15" ht="77.400000000000006" customHeight="1" thickBot="1" x14ac:dyDescent="0.35">
      <c r="I25" s="83" t="s">
        <v>122</v>
      </c>
      <c r="J25" s="84">
        <v>58.51</v>
      </c>
      <c r="K25" s="11" t="s">
        <v>120</v>
      </c>
      <c r="L25" s="27">
        <v>5</v>
      </c>
      <c r="M25" s="27">
        <v>5</v>
      </c>
      <c r="N25" s="85">
        <v>5</v>
      </c>
    </row>
    <row r="30" spans="9:15" x14ac:dyDescent="0.3">
      <c r="K30" s="1"/>
      <c r="L30" s="1"/>
      <c r="M30" s="1"/>
      <c r="N30" s="1"/>
      <c r="O30" s="1"/>
    </row>
  </sheetData>
  <sheetProtection formatCells="0" formatColumns="0" formatRows="0" insertColumns="0" insertRows="0" deleteColumns="0" deleteRows="0" sort="0" autoFilter="0" pivotTables="0"/>
  <mergeCells count="1">
    <mergeCell ref="I20:N20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F9FB-A5AB-4F3C-AAD8-DF8A70292BEF}">
  <dimension ref="G5:S19"/>
  <sheetViews>
    <sheetView zoomScaleNormal="100" workbookViewId="0">
      <selection activeCell="C3" sqref="C3"/>
    </sheetView>
  </sheetViews>
  <sheetFormatPr defaultRowHeight="14.4" x14ac:dyDescent="0.3"/>
  <cols>
    <col min="8" max="8" width="15.109375" bestFit="1" customWidth="1"/>
    <col min="9" max="9" width="10.77734375" bestFit="1" customWidth="1"/>
    <col min="11" max="13" width="16.109375" customWidth="1"/>
    <col min="14" max="14" width="4.21875" customWidth="1"/>
    <col min="15" max="15" width="20.6640625" bestFit="1" customWidth="1"/>
    <col min="16" max="16" width="14.6640625" customWidth="1"/>
    <col min="17" max="17" width="11.5546875" customWidth="1"/>
    <col min="18" max="19" width="11.5546875" bestFit="1" customWidth="1"/>
  </cols>
  <sheetData>
    <row r="5" spans="7:19" ht="15" thickBot="1" x14ac:dyDescent="0.35"/>
    <row r="6" spans="7:19" ht="18.600000000000001" thickBot="1" x14ac:dyDescent="0.4">
      <c r="G6" s="92" t="s">
        <v>42</v>
      </c>
      <c r="H6" s="93"/>
      <c r="I6" s="93"/>
      <c r="J6" s="93"/>
      <c r="K6" s="93"/>
      <c r="L6" s="93"/>
      <c r="M6" s="94"/>
      <c r="O6" s="24" t="s">
        <v>41</v>
      </c>
      <c r="P6" s="87">
        <v>0.05</v>
      </c>
    </row>
    <row r="7" spans="7:19" ht="27.6" customHeight="1" thickBot="1" x14ac:dyDescent="0.35">
      <c r="G7" s="15" t="s">
        <v>15</v>
      </c>
      <c r="H7" s="16" t="s">
        <v>16</v>
      </c>
      <c r="I7" s="16" t="s">
        <v>17</v>
      </c>
      <c r="J7" s="16" t="s">
        <v>18</v>
      </c>
      <c r="K7" s="16" t="s">
        <v>19</v>
      </c>
      <c r="L7" s="16" t="s">
        <v>37</v>
      </c>
      <c r="M7" s="17" t="s">
        <v>94</v>
      </c>
    </row>
    <row r="8" spans="7:19" ht="27.6" customHeight="1" x14ac:dyDescent="0.3">
      <c r="G8" s="12" t="s">
        <v>20</v>
      </c>
      <c r="H8" s="13" t="s">
        <v>21</v>
      </c>
      <c r="I8" s="14">
        <v>9</v>
      </c>
      <c r="J8" s="18">
        <v>200</v>
      </c>
      <c r="K8" s="18">
        <f>J8*I8</f>
        <v>1800</v>
      </c>
      <c r="L8" s="28" t="str">
        <f>IF(K8&gt;=$L$19,"Venda boa","Venda ruim")</f>
        <v>Venda ruim</v>
      </c>
      <c r="M8" s="29">
        <f t="shared" ref="M8:M17" si="0">K8-(K8*$P$6)</f>
        <v>1710</v>
      </c>
      <c r="N8" s="29"/>
      <c r="O8" s="25" t="s">
        <v>33</v>
      </c>
      <c r="P8" s="76">
        <f>SUM(K8:K17)</f>
        <v>25300</v>
      </c>
      <c r="S8" s="21"/>
    </row>
    <row r="9" spans="7:19" ht="27.6" customHeight="1" x14ac:dyDescent="0.3">
      <c r="G9" s="4" t="s">
        <v>22</v>
      </c>
      <c r="H9" s="10" t="s">
        <v>23</v>
      </c>
      <c r="I9" s="5">
        <v>5</v>
      </c>
      <c r="J9" s="19">
        <v>400</v>
      </c>
      <c r="K9" s="18">
        <f t="shared" ref="K9:K17" si="1">J9*I9</f>
        <v>2000</v>
      </c>
      <c r="L9" s="28" t="str">
        <f t="shared" ref="L9:L17" si="2">IF(K9&gt;=$L$19,"Venda boa","Venda ruim")</f>
        <v>Venda ruim</v>
      </c>
      <c r="M9" s="29">
        <f t="shared" si="0"/>
        <v>1900</v>
      </c>
      <c r="O9" s="24" t="s">
        <v>34</v>
      </c>
      <c r="P9" s="76">
        <f>MAX(K8:K17)</f>
        <v>7000</v>
      </c>
      <c r="S9" s="21"/>
    </row>
    <row r="10" spans="7:19" ht="27.6" customHeight="1" x14ac:dyDescent="0.3">
      <c r="G10" s="4" t="s">
        <v>24</v>
      </c>
      <c r="H10" s="10" t="s">
        <v>21</v>
      </c>
      <c r="I10" s="5">
        <v>8</v>
      </c>
      <c r="J10" s="19">
        <v>150</v>
      </c>
      <c r="K10" s="18">
        <f t="shared" si="1"/>
        <v>1200</v>
      </c>
      <c r="L10" s="28" t="str">
        <f t="shared" si="2"/>
        <v>Venda ruim</v>
      </c>
      <c r="M10" s="29">
        <f t="shared" si="0"/>
        <v>1140</v>
      </c>
      <c r="O10" s="24" t="s">
        <v>35</v>
      </c>
      <c r="P10" s="76">
        <f>MIN(K8:K17)</f>
        <v>600</v>
      </c>
      <c r="S10" s="21"/>
    </row>
    <row r="11" spans="7:19" ht="27.6" customHeight="1" x14ac:dyDescent="0.3">
      <c r="G11" s="4" t="s">
        <v>25</v>
      </c>
      <c r="H11" s="10" t="s">
        <v>23</v>
      </c>
      <c r="I11" s="5">
        <v>3</v>
      </c>
      <c r="J11" s="19">
        <v>350</v>
      </c>
      <c r="K11" s="18">
        <f t="shared" si="1"/>
        <v>1050</v>
      </c>
      <c r="L11" s="28" t="str">
        <f t="shared" si="2"/>
        <v>Venda ruim</v>
      </c>
      <c r="M11" s="29">
        <f t="shared" si="0"/>
        <v>997.5</v>
      </c>
      <c r="O11" s="25" t="s">
        <v>36</v>
      </c>
      <c r="P11" s="76">
        <f>AVERAGE(K8:K17)</f>
        <v>2530</v>
      </c>
      <c r="S11" s="21"/>
    </row>
    <row r="12" spans="7:19" ht="27.6" customHeight="1" x14ac:dyDescent="0.3">
      <c r="G12" s="4" t="s">
        <v>26</v>
      </c>
      <c r="H12" s="10" t="s">
        <v>27</v>
      </c>
      <c r="I12" s="5">
        <v>6</v>
      </c>
      <c r="J12" s="19">
        <v>500</v>
      </c>
      <c r="K12" s="18">
        <f t="shared" si="1"/>
        <v>3000</v>
      </c>
      <c r="L12" s="28" t="str">
        <f t="shared" si="2"/>
        <v>Venda ruim</v>
      </c>
      <c r="M12" s="29">
        <f t="shared" si="0"/>
        <v>2850</v>
      </c>
      <c r="O12" s="24" t="s">
        <v>40</v>
      </c>
      <c r="P12" s="22">
        <f>COUNTA(G8:G17)</f>
        <v>10</v>
      </c>
    </row>
    <row r="13" spans="7:19" ht="27.6" customHeight="1" x14ac:dyDescent="0.3">
      <c r="G13" s="4" t="s">
        <v>28</v>
      </c>
      <c r="H13" s="10" t="s">
        <v>21</v>
      </c>
      <c r="I13" s="5">
        <v>4</v>
      </c>
      <c r="J13" s="19">
        <v>250</v>
      </c>
      <c r="K13" s="18">
        <f t="shared" si="1"/>
        <v>1000</v>
      </c>
      <c r="L13" s="28" t="str">
        <f t="shared" si="2"/>
        <v>Venda ruim</v>
      </c>
      <c r="M13" s="29">
        <f t="shared" si="0"/>
        <v>950</v>
      </c>
    </row>
    <row r="14" spans="7:19" ht="27.6" customHeight="1" x14ac:dyDescent="0.3">
      <c r="G14" s="4" t="s">
        <v>29</v>
      </c>
      <c r="H14" s="10" t="s">
        <v>27</v>
      </c>
      <c r="I14" s="5">
        <v>10</v>
      </c>
      <c r="J14" s="19">
        <v>700</v>
      </c>
      <c r="K14" s="18">
        <f t="shared" si="1"/>
        <v>7000</v>
      </c>
      <c r="L14" s="28" t="str">
        <f t="shared" si="2"/>
        <v>Venda boa</v>
      </c>
      <c r="M14" s="29">
        <f t="shared" si="0"/>
        <v>6650</v>
      </c>
      <c r="O14" s="24" t="s">
        <v>16</v>
      </c>
      <c r="P14" s="25" t="s">
        <v>38</v>
      </c>
      <c r="Q14" s="25" t="s">
        <v>39</v>
      </c>
    </row>
    <row r="15" spans="7:19" ht="27.6" customHeight="1" x14ac:dyDescent="0.3">
      <c r="G15" s="4" t="s">
        <v>30</v>
      </c>
      <c r="H15" s="10" t="s">
        <v>21</v>
      </c>
      <c r="I15" s="5">
        <v>2</v>
      </c>
      <c r="J15" s="19">
        <v>300</v>
      </c>
      <c r="K15" s="18">
        <f t="shared" si="1"/>
        <v>600</v>
      </c>
      <c r="L15" s="28" t="str">
        <f t="shared" si="2"/>
        <v>Venda ruim</v>
      </c>
      <c r="M15" s="29">
        <f t="shared" si="0"/>
        <v>570</v>
      </c>
      <c r="O15" s="30" t="s">
        <v>27</v>
      </c>
      <c r="P15" s="23">
        <f>COUNTIF($H$8:$H$17,O15)</f>
        <v>3</v>
      </c>
      <c r="Q15" s="88">
        <f>SUMIF($H$8:$H$17,O15,$K$8:$K$17)</f>
        <v>15400</v>
      </c>
    </row>
    <row r="16" spans="7:19" ht="27.6" customHeight="1" x14ac:dyDescent="0.3">
      <c r="G16" s="4" t="s">
        <v>31</v>
      </c>
      <c r="H16" s="10" t="s">
        <v>23</v>
      </c>
      <c r="I16" s="5">
        <v>5</v>
      </c>
      <c r="J16" s="19">
        <v>450</v>
      </c>
      <c r="K16" s="18">
        <f t="shared" si="1"/>
        <v>2250</v>
      </c>
      <c r="L16" s="28" t="str">
        <f t="shared" si="2"/>
        <v>Venda ruim</v>
      </c>
      <c r="M16" s="29">
        <f t="shared" si="0"/>
        <v>2137.5</v>
      </c>
      <c r="O16" s="30" t="s">
        <v>21</v>
      </c>
      <c r="P16" s="23">
        <f t="shared" ref="P16:P17" si="3">COUNTIF($H$8:$H$17,O16)</f>
        <v>4</v>
      </c>
      <c r="Q16" s="88">
        <f t="shared" ref="Q16:Q17" si="4">SUMIF($H$8:$H$17,O16,$K$8:$K$17)</f>
        <v>4600</v>
      </c>
    </row>
    <row r="17" spans="7:17" ht="27.6" customHeight="1" thickBot="1" x14ac:dyDescent="0.35">
      <c r="G17" s="7" t="s">
        <v>32</v>
      </c>
      <c r="H17" s="11" t="s">
        <v>27</v>
      </c>
      <c r="I17" s="8">
        <v>9</v>
      </c>
      <c r="J17" s="20">
        <v>600</v>
      </c>
      <c r="K17" s="18">
        <f t="shared" si="1"/>
        <v>5400</v>
      </c>
      <c r="L17" s="28" t="str">
        <f t="shared" si="2"/>
        <v>Venda boa</v>
      </c>
      <c r="M17" s="29">
        <f t="shared" si="0"/>
        <v>5130</v>
      </c>
      <c r="O17" s="30" t="s">
        <v>23</v>
      </c>
      <c r="P17" s="23">
        <f t="shared" si="3"/>
        <v>3</v>
      </c>
      <c r="Q17" s="88">
        <f t="shared" si="4"/>
        <v>5300</v>
      </c>
    </row>
    <row r="19" spans="7:17" x14ac:dyDescent="0.3">
      <c r="L19" s="86">
        <v>5000</v>
      </c>
    </row>
  </sheetData>
  <sheetProtection formatCells="0" formatColumns="0" formatRows="0" insertColumns="0" insertRows="0" deleteColumns="0" deleteRows="0" sort="0" autoFilter="0" pivotTables="0"/>
  <mergeCells count="1">
    <mergeCell ref="G6:M6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866A-F944-40E7-AAE6-DA87F0166FC8}">
  <dimension ref="H6:P28"/>
  <sheetViews>
    <sheetView workbookViewId="0">
      <selection activeCell="C3" sqref="C3"/>
    </sheetView>
  </sheetViews>
  <sheetFormatPr defaultRowHeight="14.4" x14ac:dyDescent="0.3"/>
  <cols>
    <col min="9" max="10" width="14.88671875" bestFit="1" customWidth="1"/>
    <col min="11" max="11" width="15" bestFit="1" customWidth="1"/>
    <col min="12" max="12" width="15.109375" bestFit="1" customWidth="1"/>
    <col min="13" max="13" width="10.77734375" bestFit="1" customWidth="1"/>
    <col min="14" max="14" width="12.77734375" bestFit="1" customWidth="1"/>
    <col min="15" max="15" width="11.33203125" bestFit="1" customWidth="1"/>
    <col min="16" max="17" width="9.6640625" bestFit="1" customWidth="1"/>
  </cols>
  <sheetData>
    <row r="6" spans="8:16" ht="15" thickBot="1" x14ac:dyDescent="0.35"/>
    <row r="7" spans="8:16" ht="18.600000000000001" thickBot="1" x14ac:dyDescent="0.4">
      <c r="H7" s="95" t="s">
        <v>67</v>
      </c>
      <c r="I7" s="96"/>
      <c r="J7" s="96"/>
      <c r="K7" s="96"/>
      <c r="L7" s="96"/>
      <c r="M7" s="96"/>
      <c r="N7" s="96"/>
      <c r="O7" s="96"/>
      <c r="P7" s="97"/>
    </row>
    <row r="8" spans="8:16" ht="15" thickBot="1" x14ac:dyDescent="0.35">
      <c r="H8" s="49" t="s">
        <v>43</v>
      </c>
      <c r="I8" s="49" t="s">
        <v>44</v>
      </c>
      <c r="J8" s="49" t="s">
        <v>15</v>
      </c>
      <c r="K8" s="49" t="s">
        <v>16</v>
      </c>
      <c r="L8" s="49" t="s">
        <v>45</v>
      </c>
      <c r="M8" s="49" t="s">
        <v>17</v>
      </c>
      <c r="N8" s="49" t="s">
        <v>18</v>
      </c>
      <c r="O8" s="49" t="s">
        <v>46</v>
      </c>
      <c r="P8" s="49" t="s">
        <v>4</v>
      </c>
    </row>
    <row r="9" spans="8:16" x14ac:dyDescent="0.3">
      <c r="H9" s="31">
        <v>1020</v>
      </c>
      <c r="I9" s="46" t="s">
        <v>123</v>
      </c>
      <c r="J9" s="46" t="s">
        <v>51</v>
      </c>
      <c r="K9" s="46" t="s">
        <v>27</v>
      </c>
      <c r="L9" s="33">
        <v>45613</v>
      </c>
      <c r="M9" s="32">
        <v>2</v>
      </c>
      <c r="N9" s="34">
        <v>1200</v>
      </c>
      <c r="O9" s="34">
        <f t="shared" ref="O9:O28" si="0">N9*M9</f>
        <v>2400</v>
      </c>
      <c r="P9" s="35" t="s">
        <v>53</v>
      </c>
    </row>
    <row r="10" spans="8:16" x14ac:dyDescent="0.3">
      <c r="H10" s="36">
        <v>1019</v>
      </c>
      <c r="I10" s="47" t="s">
        <v>124</v>
      </c>
      <c r="J10" s="47" t="s">
        <v>54</v>
      </c>
      <c r="K10" s="47" t="s">
        <v>21</v>
      </c>
      <c r="L10" s="38">
        <v>45611</v>
      </c>
      <c r="M10" s="37">
        <v>1</v>
      </c>
      <c r="N10" s="39">
        <v>4000</v>
      </c>
      <c r="O10" s="39">
        <f t="shared" si="0"/>
        <v>4000</v>
      </c>
      <c r="P10" s="40" t="s">
        <v>48</v>
      </c>
    </row>
    <row r="11" spans="8:16" x14ac:dyDescent="0.3">
      <c r="H11" s="36">
        <v>1018</v>
      </c>
      <c r="I11" s="47" t="s">
        <v>125</v>
      </c>
      <c r="J11" s="47" t="s">
        <v>49</v>
      </c>
      <c r="K11" s="47" t="s">
        <v>23</v>
      </c>
      <c r="L11" s="38">
        <v>45608</v>
      </c>
      <c r="M11" s="37">
        <v>1</v>
      </c>
      <c r="N11" s="39">
        <v>2800</v>
      </c>
      <c r="O11" s="39">
        <f t="shared" si="0"/>
        <v>2800</v>
      </c>
      <c r="P11" s="40" t="s">
        <v>50</v>
      </c>
    </row>
    <row r="12" spans="8:16" x14ac:dyDescent="0.3">
      <c r="H12" s="36">
        <v>1017</v>
      </c>
      <c r="I12" s="47" t="s">
        <v>14</v>
      </c>
      <c r="J12" s="47" t="s">
        <v>66</v>
      </c>
      <c r="K12" s="47" t="s">
        <v>27</v>
      </c>
      <c r="L12" s="38">
        <v>45606</v>
      </c>
      <c r="M12" s="37">
        <v>2</v>
      </c>
      <c r="N12" s="39">
        <v>800</v>
      </c>
      <c r="O12" s="39">
        <f t="shared" si="0"/>
        <v>1600</v>
      </c>
      <c r="P12" s="40" t="s">
        <v>50</v>
      </c>
    </row>
    <row r="13" spans="8:16" x14ac:dyDescent="0.3">
      <c r="H13" s="36">
        <v>1016</v>
      </c>
      <c r="I13" s="47" t="s">
        <v>126</v>
      </c>
      <c r="J13" s="47" t="s">
        <v>65</v>
      </c>
      <c r="K13" s="47" t="s">
        <v>21</v>
      </c>
      <c r="L13" s="38">
        <v>45604</v>
      </c>
      <c r="M13" s="37">
        <v>1</v>
      </c>
      <c r="N13" s="39">
        <v>2500</v>
      </c>
      <c r="O13" s="39">
        <f t="shared" si="0"/>
        <v>2500</v>
      </c>
      <c r="P13" s="40" t="s">
        <v>48</v>
      </c>
    </row>
    <row r="14" spans="8:16" x14ac:dyDescent="0.3">
      <c r="H14" s="36">
        <v>1015</v>
      </c>
      <c r="I14" s="47" t="s">
        <v>127</v>
      </c>
      <c r="J14" s="47" t="s">
        <v>64</v>
      </c>
      <c r="K14" s="47" t="s">
        <v>23</v>
      </c>
      <c r="L14" s="38">
        <v>45601</v>
      </c>
      <c r="M14" s="37">
        <v>3</v>
      </c>
      <c r="N14" s="39">
        <v>600</v>
      </c>
      <c r="O14" s="39">
        <f t="shared" si="0"/>
        <v>1800</v>
      </c>
      <c r="P14" s="40" t="s">
        <v>48</v>
      </c>
    </row>
    <row r="15" spans="8:16" x14ac:dyDescent="0.3">
      <c r="H15" s="36">
        <v>1014</v>
      </c>
      <c r="I15" s="47" t="s">
        <v>128</v>
      </c>
      <c r="J15" s="47" t="s">
        <v>63</v>
      </c>
      <c r="K15" s="47" t="s">
        <v>27</v>
      </c>
      <c r="L15" s="38">
        <v>45599</v>
      </c>
      <c r="M15" s="37">
        <v>1</v>
      </c>
      <c r="N15" s="39">
        <v>2500</v>
      </c>
      <c r="O15" s="39">
        <f t="shared" si="0"/>
        <v>2500</v>
      </c>
      <c r="P15" s="40" t="s">
        <v>50</v>
      </c>
    </row>
    <row r="16" spans="8:16" x14ac:dyDescent="0.3">
      <c r="H16" s="36">
        <v>1013</v>
      </c>
      <c r="I16" s="47" t="s">
        <v>129</v>
      </c>
      <c r="J16" s="47" t="s">
        <v>62</v>
      </c>
      <c r="K16" s="47" t="s">
        <v>21</v>
      </c>
      <c r="L16" s="38">
        <v>45597</v>
      </c>
      <c r="M16" s="37">
        <v>2</v>
      </c>
      <c r="N16" s="39">
        <v>700</v>
      </c>
      <c r="O16" s="39">
        <f t="shared" si="0"/>
        <v>1400</v>
      </c>
      <c r="P16" s="40" t="s">
        <v>48</v>
      </c>
    </row>
    <row r="17" spans="8:16" x14ac:dyDescent="0.3">
      <c r="H17" s="36">
        <v>1012</v>
      </c>
      <c r="I17" s="47" t="s">
        <v>130</v>
      </c>
      <c r="J17" s="47" t="s">
        <v>61</v>
      </c>
      <c r="K17" s="47" t="s">
        <v>23</v>
      </c>
      <c r="L17" s="38">
        <v>45594</v>
      </c>
      <c r="M17" s="37">
        <v>1</v>
      </c>
      <c r="N17" s="39">
        <v>2200</v>
      </c>
      <c r="O17" s="39">
        <f t="shared" si="0"/>
        <v>2200</v>
      </c>
      <c r="P17" s="40" t="s">
        <v>50</v>
      </c>
    </row>
    <row r="18" spans="8:16" x14ac:dyDescent="0.3">
      <c r="H18" s="36">
        <v>1011</v>
      </c>
      <c r="I18" s="47" t="s">
        <v>131</v>
      </c>
      <c r="J18" s="47" t="s">
        <v>60</v>
      </c>
      <c r="K18" s="47" t="s">
        <v>27</v>
      </c>
      <c r="L18" s="38">
        <v>45592</v>
      </c>
      <c r="M18" s="37">
        <v>2</v>
      </c>
      <c r="N18" s="39">
        <v>900</v>
      </c>
      <c r="O18" s="39">
        <f t="shared" si="0"/>
        <v>1800</v>
      </c>
      <c r="P18" s="40" t="s">
        <v>48</v>
      </c>
    </row>
    <row r="19" spans="8:16" x14ac:dyDescent="0.3">
      <c r="H19" s="36">
        <v>1010</v>
      </c>
      <c r="I19" s="47" t="s">
        <v>14</v>
      </c>
      <c r="J19" s="47" t="s">
        <v>59</v>
      </c>
      <c r="K19" s="47" t="s">
        <v>23</v>
      </c>
      <c r="L19" s="38">
        <v>45590</v>
      </c>
      <c r="M19" s="37">
        <v>1</v>
      </c>
      <c r="N19" s="39">
        <v>1800</v>
      </c>
      <c r="O19" s="39">
        <f t="shared" si="0"/>
        <v>1800</v>
      </c>
      <c r="P19" s="40" t="s">
        <v>53</v>
      </c>
    </row>
    <row r="20" spans="8:16" x14ac:dyDescent="0.3">
      <c r="H20" s="36">
        <v>1009</v>
      </c>
      <c r="I20" s="47" t="s">
        <v>13</v>
      </c>
      <c r="J20" s="47" t="s">
        <v>58</v>
      </c>
      <c r="K20" s="47" t="s">
        <v>21</v>
      </c>
      <c r="L20" s="38">
        <v>45587</v>
      </c>
      <c r="M20" s="37">
        <v>3</v>
      </c>
      <c r="N20" s="39">
        <v>1200</v>
      </c>
      <c r="O20" s="39">
        <f t="shared" si="0"/>
        <v>3600</v>
      </c>
      <c r="P20" s="40" t="s">
        <v>50</v>
      </c>
    </row>
    <row r="21" spans="8:16" x14ac:dyDescent="0.3">
      <c r="H21" s="36">
        <v>1008</v>
      </c>
      <c r="I21" s="47" t="s">
        <v>12</v>
      </c>
      <c r="J21" s="47" t="s">
        <v>57</v>
      </c>
      <c r="K21" s="47" t="s">
        <v>27</v>
      </c>
      <c r="L21" s="38">
        <v>45585</v>
      </c>
      <c r="M21" s="37">
        <v>6</v>
      </c>
      <c r="N21" s="39">
        <v>200</v>
      </c>
      <c r="O21" s="39">
        <f t="shared" si="0"/>
        <v>1200</v>
      </c>
      <c r="P21" s="40" t="s">
        <v>48</v>
      </c>
    </row>
    <row r="22" spans="8:16" x14ac:dyDescent="0.3">
      <c r="H22" s="36">
        <v>1007</v>
      </c>
      <c r="I22" s="47" t="s">
        <v>11</v>
      </c>
      <c r="J22" s="47" t="s">
        <v>56</v>
      </c>
      <c r="K22" s="47" t="s">
        <v>23</v>
      </c>
      <c r="L22" s="38">
        <v>45583</v>
      </c>
      <c r="M22" s="37">
        <v>2</v>
      </c>
      <c r="N22" s="39">
        <v>1300</v>
      </c>
      <c r="O22" s="39">
        <f t="shared" si="0"/>
        <v>2600</v>
      </c>
      <c r="P22" s="40" t="s">
        <v>48</v>
      </c>
    </row>
    <row r="23" spans="8:16" x14ac:dyDescent="0.3">
      <c r="H23" s="36">
        <v>1006</v>
      </c>
      <c r="I23" s="47" t="s">
        <v>10</v>
      </c>
      <c r="J23" s="47" t="s">
        <v>55</v>
      </c>
      <c r="K23" s="47" t="s">
        <v>27</v>
      </c>
      <c r="L23" s="38">
        <v>45580</v>
      </c>
      <c r="M23" s="37">
        <v>1</v>
      </c>
      <c r="N23" s="39">
        <v>1500</v>
      </c>
      <c r="O23" s="39">
        <f t="shared" si="0"/>
        <v>1500</v>
      </c>
      <c r="P23" s="40" t="s">
        <v>50</v>
      </c>
    </row>
    <row r="24" spans="8:16" x14ac:dyDescent="0.3">
      <c r="H24" s="36">
        <v>1005</v>
      </c>
      <c r="I24" s="47" t="s">
        <v>9</v>
      </c>
      <c r="J24" s="47" t="s">
        <v>54</v>
      </c>
      <c r="K24" s="47" t="s">
        <v>21</v>
      </c>
      <c r="L24" s="38">
        <v>45577</v>
      </c>
      <c r="M24" s="37">
        <v>1</v>
      </c>
      <c r="N24" s="39">
        <v>4000</v>
      </c>
      <c r="O24" s="39">
        <f t="shared" si="0"/>
        <v>4000</v>
      </c>
      <c r="P24" s="40" t="s">
        <v>48</v>
      </c>
    </row>
    <row r="25" spans="8:16" x14ac:dyDescent="0.3">
      <c r="H25" s="36">
        <v>1004</v>
      </c>
      <c r="I25" s="47" t="s">
        <v>8</v>
      </c>
      <c r="J25" s="47" t="s">
        <v>52</v>
      </c>
      <c r="K25" s="47" t="s">
        <v>23</v>
      </c>
      <c r="L25" s="38">
        <v>45574</v>
      </c>
      <c r="M25" s="37">
        <v>2</v>
      </c>
      <c r="N25" s="39">
        <v>500</v>
      </c>
      <c r="O25" s="39">
        <f t="shared" si="0"/>
        <v>1000</v>
      </c>
      <c r="P25" s="40" t="s">
        <v>53</v>
      </c>
    </row>
    <row r="26" spans="8:16" x14ac:dyDescent="0.3">
      <c r="H26" s="36">
        <v>1003</v>
      </c>
      <c r="I26" s="47" t="s">
        <v>7</v>
      </c>
      <c r="J26" s="47" t="s">
        <v>51</v>
      </c>
      <c r="K26" s="47" t="s">
        <v>27</v>
      </c>
      <c r="L26" s="38">
        <v>45572</v>
      </c>
      <c r="M26" s="37">
        <v>3</v>
      </c>
      <c r="N26" s="39">
        <v>1200</v>
      </c>
      <c r="O26" s="39">
        <f t="shared" si="0"/>
        <v>3600</v>
      </c>
      <c r="P26" s="40" t="s">
        <v>48</v>
      </c>
    </row>
    <row r="27" spans="8:16" x14ac:dyDescent="0.3">
      <c r="H27" s="36">
        <v>1002</v>
      </c>
      <c r="I27" s="47" t="s">
        <v>6</v>
      </c>
      <c r="J27" s="47" t="s">
        <v>49</v>
      </c>
      <c r="K27" s="47" t="s">
        <v>23</v>
      </c>
      <c r="L27" s="38">
        <v>45570</v>
      </c>
      <c r="M27" s="37">
        <v>1</v>
      </c>
      <c r="N27" s="39">
        <v>2800</v>
      </c>
      <c r="O27" s="39">
        <f t="shared" si="0"/>
        <v>2800</v>
      </c>
      <c r="P27" s="40" t="s">
        <v>50</v>
      </c>
    </row>
    <row r="28" spans="8:16" ht="15" thickBot="1" x14ac:dyDescent="0.35">
      <c r="H28" s="41">
        <v>1001</v>
      </c>
      <c r="I28" s="48" t="s">
        <v>5</v>
      </c>
      <c r="J28" s="48" t="s">
        <v>47</v>
      </c>
      <c r="K28" s="48" t="s">
        <v>21</v>
      </c>
      <c r="L28" s="43">
        <v>45566</v>
      </c>
      <c r="M28" s="42">
        <v>2</v>
      </c>
      <c r="N28" s="44">
        <v>1500</v>
      </c>
      <c r="O28" s="44">
        <f t="shared" si="0"/>
        <v>3000</v>
      </c>
      <c r="P28" s="45" t="s">
        <v>48</v>
      </c>
    </row>
  </sheetData>
  <sheetProtection formatCells="0" formatColumns="0" formatRows="0" insertColumns="0" insertRows="0" deleteColumns="0" deleteRows="0" sort="0" autoFilter="0" pivotTables="0"/>
  <autoFilter ref="H8:P8" xr:uid="{BA02866A-F944-40E7-AAE6-DA87F0166FC8}"/>
  <sortState xmlns:xlrd2="http://schemas.microsoft.com/office/spreadsheetml/2017/richdata2" ref="H9:P28">
    <sortCondition descending="1" ref="H9:H28"/>
  </sortState>
  <mergeCells count="1">
    <mergeCell ref="H7:P7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4BC0-6B59-4219-BE58-16BB002A5EDA}">
  <dimension ref="G6:T63"/>
  <sheetViews>
    <sheetView zoomScaleNormal="100" workbookViewId="0">
      <selection activeCell="D8" sqref="D8"/>
    </sheetView>
  </sheetViews>
  <sheetFormatPr defaultRowHeight="14.4" x14ac:dyDescent="0.3"/>
  <cols>
    <col min="7" max="7" width="15" bestFit="1" customWidth="1"/>
    <col min="8" max="8" width="10.88671875" bestFit="1" customWidth="1"/>
    <col min="10" max="10" width="9.33203125" bestFit="1" customWidth="1"/>
    <col min="20" max="20" width="9.5546875" bestFit="1" customWidth="1"/>
  </cols>
  <sheetData>
    <row r="6" spans="10:11" ht="15" thickBot="1" x14ac:dyDescent="0.35"/>
    <row r="7" spans="10:11" ht="15" thickBot="1" x14ac:dyDescent="0.35">
      <c r="J7" s="98" t="s">
        <v>91</v>
      </c>
      <c r="K7" s="99"/>
    </row>
    <row r="8" spans="10:11" ht="29.4" thickBot="1" x14ac:dyDescent="0.35">
      <c r="J8" s="2" t="s">
        <v>68</v>
      </c>
      <c r="K8" s="3" t="s">
        <v>69</v>
      </c>
    </row>
    <row r="9" spans="10:11" x14ac:dyDescent="0.3">
      <c r="J9" s="50" t="s">
        <v>70</v>
      </c>
      <c r="K9" s="55">
        <v>10000</v>
      </c>
    </row>
    <row r="10" spans="10:11" x14ac:dyDescent="0.3">
      <c r="J10" s="50" t="s">
        <v>71</v>
      </c>
      <c r="K10" s="55">
        <v>8500</v>
      </c>
    </row>
    <row r="11" spans="10:11" x14ac:dyDescent="0.3">
      <c r="J11" s="50" t="s">
        <v>72</v>
      </c>
      <c r="K11" s="55">
        <v>12000</v>
      </c>
    </row>
    <row r="12" spans="10:11" x14ac:dyDescent="0.3">
      <c r="J12" s="50" t="s">
        <v>73</v>
      </c>
      <c r="K12" s="55">
        <v>15000</v>
      </c>
    </row>
    <row r="13" spans="10:11" x14ac:dyDescent="0.3">
      <c r="J13" s="50" t="s">
        <v>74</v>
      </c>
      <c r="K13" s="55">
        <v>14000</v>
      </c>
    </row>
    <row r="14" spans="10:11" x14ac:dyDescent="0.3">
      <c r="J14" s="50" t="s">
        <v>75</v>
      </c>
      <c r="K14" s="55">
        <v>11500</v>
      </c>
    </row>
    <row r="15" spans="10:11" x14ac:dyDescent="0.3">
      <c r="J15" s="50" t="s">
        <v>76</v>
      </c>
      <c r="K15" s="55">
        <v>13000</v>
      </c>
    </row>
    <row r="16" spans="10:11" x14ac:dyDescent="0.3">
      <c r="J16" s="50" t="s">
        <v>77</v>
      </c>
      <c r="K16" s="55">
        <v>16000</v>
      </c>
    </row>
    <row r="17" spans="9:11" x14ac:dyDescent="0.3">
      <c r="J17" s="50" t="s">
        <v>78</v>
      </c>
      <c r="K17" s="55">
        <v>14500</v>
      </c>
    </row>
    <row r="18" spans="9:11" x14ac:dyDescent="0.3">
      <c r="J18" s="50" t="s">
        <v>79</v>
      </c>
      <c r="K18" s="55">
        <v>17000</v>
      </c>
    </row>
    <row r="19" spans="9:11" x14ac:dyDescent="0.3">
      <c r="J19" s="50" t="s">
        <v>80</v>
      </c>
      <c r="K19" s="55">
        <v>18500</v>
      </c>
    </row>
    <row r="20" spans="9:11" ht="15" thickBot="1" x14ac:dyDescent="0.35">
      <c r="J20" s="51" t="s">
        <v>81</v>
      </c>
      <c r="K20" s="56">
        <v>20000</v>
      </c>
    </row>
    <row r="23" spans="9:11" ht="15" thickBot="1" x14ac:dyDescent="0.35"/>
    <row r="24" spans="9:11" ht="15" thickBot="1" x14ac:dyDescent="0.35">
      <c r="I24" s="98" t="s">
        <v>90</v>
      </c>
      <c r="J24" s="100"/>
      <c r="K24" s="99"/>
    </row>
    <row r="25" spans="9:11" ht="29.4" thickBot="1" x14ac:dyDescent="0.35">
      <c r="I25" s="52" t="s">
        <v>82</v>
      </c>
      <c r="J25" s="54" t="s">
        <v>83</v>
      </c>
      <c r="K25" s="53" t="s">
        <v>84</v>
      </c>
    </row>
    <row r="26" spans="9:11" x14ac:dyDescent="0.3">
      <c r="I26" s="50" t="s">
        <v>85</v>
      </c>
      <c r="J26" s="57">
        <v>30000</v>
      </c>
      <c r="K26" s="55">
        <v>35000</v>
      </c>
    </row>
    <row r="27" spans="9:11" x14ac:dyDescent="0.3">
      <c r="I27" s="50" t="s">
        <v>86</v>
      </c>
      <c r="J27" s="57">
        <v>45000</v>
      </c>
      <c r="K27" s="55">
        <v>50000</v>
      </c>
    </row>
    <row r="28" spans="9:11" x14ac:dyDescent="0.3">
      <c r="I28" s="50" t="s">
        <v>87</v>
      </c>
      <c r="J28" s="57">
        <v>40000</v>
      </c>
      <c r="K28" s="55">
        <v>48000</v>
      </c>
    </row>
    <row r="29" spans="9:11" ht="15" thickBot="1" x14ac:dyDescent="0.35">
      <c r="I29" s="51" t="s">
        <v>88</v>
      </c>
      <c r="J29" s="58">
        <v>55000</v>
      </c>
      <c r="K29" s="56">
        <v>60000</v>
      </c>
    </row>
    <row r="39" spans="9:10" ht="15" thickBot="1" x14ac:dyDescent="0.35"/>
    <row r="40" spans="9:10" ht="15" thickBot="1" x14ac:dyDescent="0.35">
      <c r="I40" s="98" t="s">
        <v>89</v>
      </c>
      <c r="J40" s="99"/>
    </row>
    <row r="41" spans="9:10" ht="29.4" thickBot="1" x14ac:dyDescent="0.35">
      <c r="I41" s="52" t="s">
        <v>15</v>
      </c>
      <c r="J41" s="53" t="s">
        <v>69</v>
      </c>
    </row>
    <row r="42" spans="9:10" x14ac:dyDescent="0.3">
      <c r="I42" s="50" t="s">
        <v>20</v>
      </c>
      <c r="J42" s="55">
        <v>25000</v>
      </c>
    </row>
    <row r="43" spans="9:10" x14ac:dyDescent="0.3">
      <c r="I43" s="50" t="s">
        <v>22</v>
      </c>
      <c r="J43" s="55">
        <v>15000</v>
      </c>
    </row>
    <row r="44" spans="9:10" x14ac:dyDescent="0.3">
      <c r="I44" s="50" t="s">
        <v>24</v>
      </c>
      <c r="J44" s="55">
        <v>20000</v>
      </c>
    </row>
    <row r="45" spans="9:10" x14ac:dyDescent="0.3">
      <c r="I45" s="50" t="s">
        <v>25</v>
      </c>
      <c r="J45" s="55">
        <v>30000</v>
      </c>
    </row>
    <row r="46" spans="9:10" ht="15" thickBot="1" x14ac:dyDescent="0.35">
      <c r="I46" s="51" t="s">
        <v>26</v>
      </c>
      <c r="J46" s="56">
        <v>10000</v>
      </c>
    </row>
    <row r="53" spans="7:20" ht="15" thickBot="1" x14ac:dyDescent="0.35"/>
    <row r="54" spans="7:20" ht="15" thickBot="1" x14ac:dyDescent="0.35">
      <c r="G54" s="98" t="s">
        <v>93</v>
      </c>
      <c r="H54" s="99"/>
    </row>
    <row r="55" spans="7:20" ht="29.4" thickBot="1" x14ac:dyDescent="0.35">
      <c r="G55" s="52" t="s">
        <v>92</v>
      </c>
      <c r="H55" s="53" t="s">
        <v>69</v>
      </c>
    </row>
    <row r="56" spans="7:20" x14ac:dyDescent="0.3">
      <c r="G56" s="59">
        <v>2000</v>
      </c>
      <c r="H56" s="55">
        <v>15000</v>
      </c>
      <c r="T56" s="61"/>
    </row>
    <row r="57" spans="7:20" x14ac:dyDescent="0.3">
      <c r="G57" s="59">
        <v>4000</v>
      </c>
      <c r="H57" s="55">
        <v>25000</v>
      </c>
    </row>
    <row r="58" spans="7:20" x14ac:dyDescent="0.3">
      <c r="G58" s="59">
        <v>6000</v>
      </c>
      <c r="H58" s="55">
        <v>30000</v>
      </c>
    </row>
    <row r="59" spans="7:20" x14ac:dyDescent="0.3">
      <c r="G59" s="59">
        <v>8000</v>
      </c>
      <c r="H59" s="55">
        <v>35000</v>
      </c>
    </row>
    <row r="60" spans="7:20" x14ac:dyDescent="0.3">
      <c r="G60" s="59">
        <v>10000</v>
      </c>
      <c r="H60" s="55">
        <v>50000</v>
      </c>
    </row>
    <row r="61" spans="7:20" x14ac:dyDescent="0.3">
      <c r="G61" s="59">
        <v>12000</v>
      </c>
      <c r="H61" s="55">
        <v>60000</v>
      </c>
    </row>
    <row r="62" spans="7:20" x14ac:dyDescent="0.3">
      <c r="G62" s="59">
        <v>14000</v>
      </c>
      <c r="H62" s="55">
        <v>65000</v>
      </c>
    </row>
    <row r="63" spans="7:20" ht="15" thickBot="1" x14ac:dyDescent="0.35">
      <c r="G63" s="60">
        <v>16000</v>
      </c>
      <c r="H63" s="56">
        <v>70000</v>
      </c>
    </row>
  </sheetData>
  <sheetProtection formatCells="0" formatColumns="0" formatRows="0" insertColumns="0" insertRows="0" deleteColumns="0" deleteRows="0" sort="0" autoFilter="0" pivotTables="0"/>
  <mergeCells count="4">
    <mergeCell ref="I40:J40"/>
    <mergeCell ref="I24:K24"/>
    <mergeCell ref="J7:K7"/>
    <mergeCell ref="G54:H5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934C-3282-4D8E-8F03-A92B9552C136}">
  <dimension ref="B1:H12"/>
  <sheetViews>
    <sheetView tabSelected="1" workbookViewId="0">
      <selection activeCell="L16" sqref="L16"/>
    </sheetView>
  </sheetViews>
  <sheetFormatPr defaultRowHeight="14.4" x14ac:dyDescent="0.3"/>
  <cols>
    <col min="2" max="3" width="8.88671875" customWidth="1"/>
    <col min="7" max="7" width="8.88671875" customWidth="1"/>
    <col min="8" max="8" width="9.5546875" customWidth="1"/>
  </cols>
  <sheetData>
    <row r="1" spans="2:8" ht="15" thickBot="1" x14ac:dyDescent="0.35"/>
    <row r="2" spans="2:8" ht="15" thickBot="1" x14ac:dyDescent="0.35">
      <c r="B2" s="67" t="s">
        <v>0</v>
      </c>
      <c r="C2" s="64" t="s">
        <v>1</v>
      </c>
      <c r="D2" s="62" t="s">
        <v>2</v>
      </c>
      <c r="E2" s="62" t="s">
        <v>95</v>
      </c>
      <c r="F2" s="62" t="s">
        <v>96</v>
      </c>
      <c r="G2" s="62" t="s">
        <v>3</v>
      </c>
      <c r="H2" s="63" t="s">
        <v>4</v>
      </c>
    </row>
    <row r="3" spans="2:8" x14ac:dyDescent="0.3">
      <c r="B3" s="68" t="s">
        <v>5</v>
      </c>
      <c r="C3" s="65">
        <v>7.5</v>
      </c>
      <c r="D3" s="14">
        <v>7.2</v>
      </c>
      <c r="E3" s="14" t="s">
        <v>97</v>
      </c>
      <c r="F3" s="14">
        <v>9.1999999999999993</v>
      </c>
      <c r="G3" s="73">
        <f>AVERAGE(C3:F3)</f>
        <v>7.9666666666666659</v>
      </c>
      <c r="H3" s="71" t="str">
        <f>IF(G3&gt;=7,"Aprovado","Reprovado")</f>
        <v>Aprovado</v>
      </c>
    </row>
    <row r="4" spans="2:8" x14ac:dyDescent="0.3">
      <c r="B4" s="69" t="s">
        <v>6</v>
      </c>
      <c r="C4" s="66">
        <v>10</v>
      </c>
      <c r="D4" s="5">
        <v>6</v>
      </c>
      <c r="E4" s="5">
        <v>4.4000000000000004</v>
      </c>
      <c r="F4" s="5">
        <v>5.6</v>
      </c>
      <c r="G4" s="73">
        <f>AVERAGE(C4:F4)</f>
        <v>6.5</v>
      </c>
      <c r="H4" s="6" t="str">
        <f t="shared" ref="H4:H12" si="0">IF(G4&gt;=7,"Aprovado","Reprovado")</f>
        <v>Reprovado</v>
      </c>
    </row>
    <row r="5" spans="2:8" x14ac:dyDescent="0.3">
      <c r="B5" s="69" t="s">
        <v>7</v>
      </c>
      <c r="C5" s="66">
        <v>9</v>
      </c>
      <c r="D5" s="5">
        <v>8.5</v>
      </c>
      <c r="E5" s="5">
        <v>6.5</v>
      </c>
      <c r="F5" s="5">
        <v>5.8</v>
      </c>
      <c r="G5" s="73">
        <f t="shared" ref="G5:G12" si="1">AVERAGE(C5:F5)</f>
        <v>7.45</v>
      </c>
      <c r="H5" s="6" t="str">
        <f t="shared" si="0"/>
        <v>Aprovado</v>
      </c>
    </row>
    <row r="6" spans="2:8" x14ac:dyDescent="0.3">
      <c r="B6" s="69" t="s">
        <v>8</v>
      </c>
      <c r="C6" s="66">
        <v>4.5</v>
      </c>
      <c r="D6" s="5">
        <v>6</v>
      </c>
      <c r="E6" s="5">
        <v>8.1999999999999993</v>
      </c>
      <c r="F6" s="5">
        <v>3.5</v>
      </c>
      <c r="G6" s="73">
        <f t="shared" si="1"/>
        <v>5.55</v>
      </c>
      <c r="H6" s="6" t="str">
        <f t="shared" si="0"/>
        <v>Reprovado</v>
      </c>
    </row>
    <row r="7" spans="2:8" x14ac:dyDescent="0.3">
      <c r="B7" s="69" t="s">
        <v>9</v>
      </c>
      <c r="C7" s="66">
        <v>6.7</v>
      </c>
      <c r="D7" s="5">
        <v>7.5</v>
      </c>
      <c r="E7" s="5">
        <v>7.2</v>
      </c>
      <c r="F7" s="5">
        <v>4.8</v>
      </c>
      <c r="G7" s="73">
        <f t="shared" si="1"/>
        <v>6.55</v>
      </c>
      <c r="H7" s="6" t="str">
        <f t="shared" si="0"/>
        <v>Reprovado</v>
      </c>
    </row>
    <row r="8" spans="2:8" x14ac:dyDescent="0.3">
      <c r="B8" s="69" t="s">
        <v>10</v>
      </c>
      <c r="C8" s="66">
        <v>5</v>
      </c>
      <c r="D8" s="5">
        <v>6</v>
      </c>
      <c r="E8" s="5">
        <v>1.6</v>
      </c>
      <c r="F8" s="5">
        <v>2.7</v>
      </c>
      <c r="G8" s="73">
        <f t="shared" si="1"/>
        <v>3.8250000000000002</v>
      </c>
      <c r="H8" s="6" t="str">
        <f t="shared" si="0"/>
        <v>Reprovado</v>
      </c>
    </row>
    <row r="9" spans="2:8" x14ac:dyDescent="0.3">
      <c r="B9" s="69" t="s">
        <v>11</v>
      </c>
      <c r="C9" s="66">
        <v>8</v>
      </c>
      <c r="D9" s="5">
        <v>7.4</v>
      </c>
      <c r="E9" s="5">
        <v>5.7</v>
      </c>
      <c r="F9" s="5">
        <v>2.2000000000000002</v>
      </c>
      <c r="G9" s="73">
        <f>AVERAGE(C9:F9)</f>
        <v>5.8250000000000002</v>
      </c>
      <c r="H9" s="6" t="str">
        <f t="shared" si="0"/>
        <v>Reprovado</v>
      </c>
    </row>
    <row r="10" spans="2:8" x14ac:dyDescent="0.3">
      <c r="B10" s="69" t="s">
        <v>12</v>
      </c>
      <c r="C10" s="66">
        <v>6.5</v>
      </c>
      <c r="D10" s="5">
        <v>4.5</v>
      </c>
      <c r="E10" s="5">
        <v>6.2</v>
      </c>
      <c r="F10" s="5">
        <v>7.6</v>
      </c>
      <c r="G10" s="73">
        <f t="shared" si="1"/>
        <v>6.1999999999999993</v>
      </c>
      <c r="H10" s="6" t="str">
        <f t="shared" si="0"/>
        <v>Reprovado</v>
      </c>
    </row>
    <row r="11" spans="2:8" x14ac:dyDescent="0.3">
      <c r="B11" s="69" t="s">
        <v>13</v>
      </c>
      <c r="C11" s="66">
        <v>7.5</v>
      </c>
      <c r="D11" s="5">
        <v>9</v>
      </c>
      <c r="E11" s="5">
        <v>6.1</v>
      </c>
      <c r="F11" s="5">
        <v>8.6</v>
      </c>
      <c r="G11" s="73">
        <f t="shared" si="1"/>
        <v>7.8000000000000007</v>
      </c>
      <c r="H11" s="6" t="str">
        <f t="shared" si="0"/>
        <v>Aprovado</v>
      </c>
    </row>
    <row r="12" spans="2:8" ht="15" thickBot="1" x14ac:dyDescent="0.35">
      <c r="B12" s="70" t="s">
        <v>14</v>
      </c>
      <c r="C12" s="72">
        <v>5.5</v>
      </c>
      <c r="D12" s="8">
        <v>6</v>
      </c>
      <c r="E12" s="8">
        <v>9.8000000000000007</v>
      </c>
      <c r="F12" s="8">
        <v>4.7</v>
      </c>
      <c r="G12" s="74">
        <f t="shared" si="1"/>
        <v>6.5</v>
      </c>
      <c r="H12" s="9" t="str">
        <f t="shared" si="0"/>
        <v>Reprovado</v>
      </c>
    </row>
  </sheetData>
  <conditionalFormatting sqref="C3:F12">
    <cfRule type="cellIs" dxfId="3" priority="4" operator="greaterThan">
      <formula>6.9</formula>
    </cfRule>
    <cfRule type="cellIs" dxfId="2" priority="3" operator="lessThan">
      <formula>6.9</formula>
    </cfRule>
  </conditionalFormatting>
  <conditionalFormatting sqref="G3:G12">
    <cfRule type="top10" dxfId="1" priority="2" percent="1" rank="20"/>
  </conditionalFormatting>
  <conditionalFormatting sqref="H3:H12">
    <cfRule type="containsText" dxfId="0" priority="1" operator="containsText" text="Aprovado">
      <formula>NOT(ISERROR(SEARCH("Aprovado",H3)))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HUB</vt:lpstr>
      <vt:lpstr>Interface</vt:lpstr>
      <vt:lpstr>Formatação</vt:lpstr>
      <vt:lpstr>Fórmulas</vt:lpstr>
      <vt:lpstr>Filtros</vt:lpstr>
      <vt:lpstr>Gráficos básicos</vt:lpstr>
      <vt:lpstr>Exemplo formatação 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Bilobran Neves</dc:creator>
  <cp:lastModifiedBy>Eduardo Bilobran Neves</cp:lastModifiedBy>
  <dcterms:created xsi:type="dcterms:W3CDTF">2024-11-07T23:05:08Z</dcterms:created>
  <dcterms:modified xsi:type="dcterms:W3CDTF">2025-11-11T22:32:55Z</dcterms:modified>
</cp:coreProperties>
</file>